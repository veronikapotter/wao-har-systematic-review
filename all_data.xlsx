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veronikapotter/wao-har-systematic-review/"/>
    </mc:Choice>
  </mc:AlternateContent>
  <xr:revisionPtr revIDLastSave="0" documentId="8_{60C81CD0-9A24-F94F-A92C-D864E18985D6}" xr6:coauthVersionLast="47" xr6:coauthVersionMax="47" xr10:uidLastSave="{00000000-0000-0000-0000-000000000000}"/>
  <bookViews>
    <workbookView xWindow="20" yWindow="660" windowWidth="29400" windowHeight="18460" xr2:uid="{FCEDE293-F786-6441-88E5-DDA9E43FB39F}"/>
  </bookViews>
  <sheets>
    <sheet name="All_Data" sheetId="1" r:id="rId1"/>
    <sheet name="Table_2" sheetId="7" r:id="rId2"/>
    <sheet name="Table_3" sheetId="4" r:id="rId3"/>
    <sheet name="Fig_3"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65" i="4" l="1"/>
  <c r="J157" i="9"/>
  <c r="I157" i="9"/>
  <c r="H157" i="9"/>
  <c r="O157" i="9"/>
  <c r="N157" i="9"/>
  <c r="E157" i="9"/>
  <c r="F157" i="9"/>
  <c r="G157" i="9"/>
  <c r="K157" i="9"/>
  <c r="L157" i="9"/>
  <c r="M157" i="9"/>
  <c r="P157" i="9"/>
  <c r="A2" i="7" a="1"/>
  <c r="AL186" i="1"/>
  <c r="AQ186" i="1"/>
  <c r="AN186" i="1"/>
  <c r="AN184" i="1"/>
  <c r="AN183" i="1"/>
  <c r="AN182"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3" i="1"/>
  <c r="AQ184" i="1"/>
  <c r="AQ183" i="1"/>
  <c r="AQ182" i="1"/>
  <c r="C168" i="4"/>
  <c r="B177" i="4" s="1"/>
  <c r="C165" i="4"/>
  <c r="B176" i="4" s="1"/>
  <c r="C148" i="4"/>
  <c r="B175" i="4" s="1"/>
  <c r="C127" i="4"/>
  <c r="B174" i="4" s="1"/>
  <c r="C112" i="4"/>
  <c r="B173" i="4" s="1"/>
  <c r="E86" i="4"/>
  <c r="F86" i="4"/>
  <c r="C86" i="4"/>
  <c r="B172" i="4" s="1"/>
  <c r="C78" i="4"/>
  <c r="B171" i="4" s="1"/>
  <c r="F165" i="4"/>
  <c r="G165" i="4"/>
  <c r="H165" i="4"/>
  <c r="I165" i="4"/>
  <c r="J165" i="4"/>
  <c r="K165" i="4"/>
  <c r="L165" i="4"/>
  <c r="M165" i="4"/>
  <c r="N165" i="4"/>
  <c r="O165" i="4"/>
  <c r="P165" i="4"/>
  <c r="Q165" i="4"/>
  <c r="R165" i="4"/>
  <c r="S165" i="4"/>
  <c r="T165" i="4"/>
  <c r="U165" i="4"/>
  <c r="V165" i="4"/>
  <c r="W165" i="4"/>
  <c r="F168" i="4"/>
  <c r="G168" i="4"/>
  <c r="H168" i="4"/>
  <c r="I168" i="4"/>
  <c r="J168" i="4"/>
  <c r="K168" i="4"/>
  <c r="L168" i="4"/>
  <c r="M168" i="4"/>
  <c r="N168" i="4"/>
  <c r="O168" i="4"/>
  <c r="P168" i="4"/>
  <c r="Q168" i="4"/>
  <c r="R168" i="4"/>
  <c r="S168" i="4"/>
  <c r="T168" i="4"/>
  <c r="U168" i="4"/>
  <c r="V168" i="4"/>
  <c r="W168" i="4"/>
  <c r="X168" i="4"/>
  <c r="E168" i="4"/>
  <c r="E165" i="4"/>
  <c r="F148" i="4"/>
  <c r="G148" i="4"/>
  <c r="H148" i="4"/>
  <c r="I148" i="4"/>
  <c r="J148" i="4"/>
  <c r="K148" i="4"/>
  <c r="L148" i="4"/>
  <c r="M148" i="4"/>
  <c r="N148" i="4"/>
  <c r="O148" i="4"/>
  <c r="P148" i="4"/>
  <c r="Q148" i="4"/>
  <c r="R148" i="4"/>
  <c r="S148" i="4"/>
  <c r="T148" i="4"/>
  <c r="U148" i="4"/>
  <c r="V148" i="4"/>
  <c r="W148" i="4"/>
  <c r="X148" i="4"/>
  <c r="E148" i="4"/>
  <c r="F127" i="4"/>
  <c r="G127" i="4"/>
  <c r="H127" i="4"/>
  <c r="I127" i="4"/>
  <c r="J127" i="4"/>
  <c r="K127" i="4"/>
  <c r="L127" i="4"/>
  <c r="M127" i="4"/>
  <c r="N127" i="4"/>
  <c r="O127" i="4"/>
  <c r="P127" i="4"/>
  <c r="Q127" i="4"/>
  <c r="R127" i="4"/>
  <c r="S127" i="4"/>
  <c r="T127" i="4"/>
  <c r="U127" i="4"/>
  <c r="V127" i="4"/>
  <c r="W127" i="4"/>
  <c r="X127" i="4"/>
  <c r="E127" i="4"/>
  <c r="F112" i="4"/>
  <c r="G112" i="4"/>
  <c r="H112" i="4"/>
  <c r="I112" i="4"/>
  <c r="J112" i="4"/>
  <c r="K112" i="4"/>
  <c r="L112" i="4"/>
  <c r="M112" i="4"/>
  <c r="N112" i="4"/>
  <c r="O112" i="4"/>
  <c r="P112" i="4"/>
  <c r="Q112" i="4"/>
  <c r="R112" i="4"/>
  <c r="S112" i="4"/>
  <c r="T112" i="4"/>
  <c r="U112" i="4"/>
  <c r="V112" i="4"/>
  <c r="W112" i="4"/>
  <c r="X112" i="4"/>
  <c r="E112" i="4"/>
  <c r="G86" i="4"/>
  <c r="H86" i="4"/>
  <c r="I86" i="4"/>
  <c r="J86" i="4"/>
  <c r="K86" i="4"/>
  <c r="L86" i="4"/>
  <c r="M86" i="4"/>
  <c r="N86" i="4"/>
  <c r="O86" i="4"/>
  <c r="P86" i="4"/>
  <c r="Q86" i="4"/>
  <c r="R86" i="4"/>
  <c r="S86" i="4"/>
  <c r="T86" i="4"/>
  <c r="U86" i="4"/>
  <c r="V86" i="4"/>
  <c r="W86" i="4"/>
  <c r="X86" i="4"/>
  <c r="F78" i="4"/>
  <c r="G78" i="4"/>
  <c r="H78" i="4"/>
  <c r="I78" i="4"/>
  <c r="J78" i="4"/>
  <c r="K78" i="4"/>
  <c r="L78" i="4"/>
  <c r="M78" i="4"/>
  <c r="N78" i="4"/>
  <c r="O78" i="4"/>
  <c r="P78" i="4"/>
  <c r="Q78" i="4"/>
  <c r="R78" i="4"/>
  <c r="S78" i="4"/>
  <c r="T78" i="4"/>
  <c r="U78" i="4"/>
  <c r="V78" i="4"/>
  <c r="W78" i="4"/>
  <c r="X78" i="4"/>
  <c r="E78" i="4"/>
  <c r="B3" i="7" l="1"/>
  <c r="B6" i="7"/>
  <c r="B8" i="7"/>
  <c r="E8" i="7" s="1"/>
  <c r="B11" i="7"/>
  <c r="E10" i="7" s="1"/>
  <c r="B13" i="7"/>
  <c r="B15" i="7"/>
  <c r="B17" i="7"/>
  <c r="B20" i="7"/>
  <c r="B23" i="7"/>
  <c r="B25" i="7"/>
  <c r="B27" i="7"/>
  <c r="E20" i="7" s="1"/>
  <c r="B29" i="7"/>
  <c r="E22" i="7" s="1"/>
  <c r="B31" i="7"/>
  <c r="E24" i="7" s="1"/>
  <c r="B33" i="7"/>
  <c r="B35" i="7"/>
  <c r="B37" i="7"/>
  <c r="B39" i="7"/>
  <c r="B40" i="7"/>
  <c r="B42" i="7"/>
  <c r="E27" i="7" s="1"/>
  <c r="B44" i="7"/>
  <c r="B4" i="7"/>
  <c r="E4" i="7" s="1"/>
  <c r="B5" i="7"/>
  <c r="E5" i="7" s="1"/>
  <c r="B7" i="7"/>
  <c r="E7" i="7" s="1"/>
  <c r="B10" i="7"/>
  <c r="E9" i="7" s="1"/>
  <c r="B12" i="7"/>
  <c r="B14" i="7"/>
  <c r="E11" i="7" s="1"/>
  <c r="B16" i="7"/>
  <c r="E12" i="7" s="1"/>
  <c r="B18" i="7"/>
  <c r="E14" i="7" s="1"/>
  <c r="B21" i="7"/>
  <c r="E16" i="7" s="1"/>
  <c r="B24" i="7"/>
  <c r="E18" i="7" s="1"/>
  <c r="B26" i="7"/>
  <c r="E19" i="7" s="1"/>
  <c r="B28" i="7"/>
  <c r="E21" i="7" s="1"/>
  <c r="B30" i="7"/>
  <c r="E23" i="7" s="1"/>
  <c r="B32" i="7"/>
  <c r="E25" i="7" s="1"/>
  <c r="B34" i="7"/>
  <c r="E6" i="7" s="1"/>
  <c r="B36" i="7"/>
  <c r="B38" i="7"/>
  <c r="B41" i="7"/>
  <c r="E26" i="7" s="1"/>
  <c r="B43" i="7"/>
  <c r="E28" i="7" s="1"/>
  <c r="B9" i="7"/>
  <c r="E29" i="7" s="1"/>
  <c r="B19" i="7"/>
  <c r="E15" i="7" s="1"/>
  <c r="B22" i="7"/>
  <c r="E17" i="7" s="1"/>
  <c r="U113" i="4"/>
  <c r="V113" i="4"/>
  <c r="W113" i="4"/>
  <c r="X113" i="4"/>
  <c r="E113" i="4"/>
  <c r="G87" i="4"/>
  <c r="H87" i="4"/>
  <c r="I87" i="4"/>
  <c r="J87" i="4"/>
  <c r="K87" i="4"/>
  <c r="L87" i="4"/>
  <c r="M87" i="4"/>
  <c r="N87" i="4"/>
  <c r="O87" i="4"/>
  <c r="P87" i="4"/>
  <c r="Q87" i="4"/>
  <c r="R87" i="4"/>
  <c r="S87" i="4"/>
  <c r="T87" i="4"/>
  <c r="U87" i="4"/>
  <c r="V87" i="4"/>
  <c r="W87" i="4"/>
  <c r="X87" i="4"/>
  <c r="F79" i="4"/>
  <c r="G79" i="4"/>
  <c r="H79" i="4"/>
  <c r="I79" i="4"/>
  <c r="J79" i="4"/>
  <c r="K79" i="4"/>
  <c r="L79" i="4"/>
  <c r="M79" i="4"/>
  <c r="N79" i="4"/>
  <c r="O79" i="4"/>
  <c r="P79" i="4"/>
  <c r="Q79" i="4"/>
  <c r="R79" i="4"/>
  <c r="S79" i="4"/>
  <c r="T79" i="4"/>
  <c r="U79" i="4"/>
  <c r="V79" i="4"/>
  <c r="W79" i="4"/>
  <c r="X79" i="4"/>
  <c r="E79" i="4"/>
  <c r="F166" i="4"/>
  <c r="G166" i="4"/>
  <c r="H166" i="4"/>
  <c r="I166" i="4"/>
  <c r="I170" i="4" s="1"/>
  <c r="I171" i="4" s="1"/>
  <c r="J166" i="4"/>
  <c r="K166" i="4"/>
  <c r="L166" i="4"/>
  <c r="L170" i="4" s="1"/>
  <c r="L171" i="4" s="1"/>
  <c r="M166" i="4"/>
  <c r="N166" i="4"/>
  <c r="O166" i="4"/>
  <c r="P166" i="4"/>
  <c r="Q166" i="4"/>
  <c r="R166" i="4"/>
  <c r="S166" i="4"/>
  <c r="T166" i="4"/>
  <c r="U166" i="4"/>
  <c r="V166" i="4"/>
  <c r="V170" i="4" s="1"/>
  <c r="V171" i="4" s="1"/>
  <c r="W166" i="4"/>
  <c r="X166" i="4"/>
  <c r="X170" i="4" s="1"/>
  <c r="X171" i="4" s="1"/>
  <c r="E166" i="4"/>
  <c r="F149" i="4"/>
  <c r="G149" i="4"/>
  <c r="H149" i="4"/>
  <c r="I149" i="4"/>
  <c r="J149" i="4"/>
  <c r="K149" i="4"/>
  <c r="L149" i="4"/>
  <c r="M149" i="4"/>
  <c r="N149" i="4"/>
  <c r="O149" i="4"/>
  <c r="P149" i="4"/>
  <c r="Q149" i="4"/>
  <c r="R149" i="4"/>
  <c r="S149" i="4"/>
  <c r="T149" i="4"/>
  <c r="U149" i="4"/>
  <c r="V149" i="4"/>
  <c r="W149" i="4"/>
  <c r="X149" i="4"/>
  <c r="E149" i="4"/>
  <c r="F128" i="4"/>
  <c r="G128" i="4"/>
  <c r="H128" i="4"/>
  <c r="I128" i="4"/>
  <c r="J128" i="4"/>
  <c r="K128" i="4"/>
  <c r="L128" i="4"/>
  <c r="M128" i="4"/>
  <c r="N128" i="4"/>
  <c r="O128" i="4"/>
  <c r="P128" i="4"/>
  <c r="Q128" i="4"/>
  <c r="R128" i="4"/>
  <c r="S128" i="4"/>
  <c r="T128" i="4"/>
  <c r="U128" i="4"/>
  <c r="V128" i="4"/>
  <c r="W128" i="4"/>
  <c r="X128" i="4"/>
  <c r="E128" i="4"/>
  <c r="F113" i="4"/>
  <c r="G113" i="4"/>
  <c r="H113" i="4"/>
  <c r="I113" i="4"/>
  <c r="J113" i="4"/>
  <c r="K113" i="4"/>
  <c r="L113" i="4"/>
  <c r="M113" i="4"/>
  <c r="N113" i="4"/>
  <c r="O113" i="4"/>
  <c r="P113" i="4"/>
  <c r="Q113" i="4"/>
  <c r="R113" i="4"/>
  <c r="S113" i="4"/>
  <c r="T113" i="4"/>
  <c r="B178" i="4"/>
  <c r="C171" i="4" s="1"/>
  <c r="AN185" i="1"/>
  <c r="AN187" i="1" s="1"/>
  <c r="AQ185" i="1"/>
  <c r="AQ187" i="1" s="1"/>
  <c r="F173" i="4"/>
  <c r="F169" i="4"/>
  <c r="G173" i="4"/>
  <c r="G169" i="4"/>
  <c r="H173" i="4"/>
  <c r="H169" i="4"/>
  <c r="I173" i="4"/>
  <c r="I169" i="4"/>
  <c r="J173" i="4"/>
  <c r="J169" i="4"/>
  <c r="K173" i="4"/>
  <c r="K169" i="4"/>
  <c r="L169" i="4"/>
  <c r="L173" i="4"/>
  <c r="M173" i="4"/>
  <c r="M169" i="4"/>
  <c r="N169" i="4"/>
  <c r="N173" i="4"/>
  <c r="O173" i="4"/>
  <c r="O169" i="4"/>
  <c r="P169" i="4"/>
  <c r="P173" i="4"/>
  <c r="Q173" i="4"/>
  <c r="Q169" i="4"/>
  <c r="R173" i="4"/>
  <c r="R169" i="4"/>
  <c r="S173" i="4"/>
  <c r="S169" i="4"/>
  <c r="T169" i="4"/>
  <c r="T173" i="4"/>
  <c r="U173" i="4"/>
  <c r="U169" i="4"/>
  <c r="V173" i="4"/>
  <c r="V169" i="4"/>
  <c r="W173" i="4"/>
  <c r="W169" i="4"/>
  <c r="X173" i="4"/>
  <c r="X169" i="4"/>
  <c r="E169" i="4"/>
  <c r="E173" i="4"/>
  <c r="E87" i="4"/>
  <c r="F87" i="4"/>
  <c r="S170" i="4" l="1"/>
  <c r="S171" i="4" s="1"/>
  <c r="U170" i="4"/>
  <c r="F170" i="4"/>
  <c r="J170" i="4"/>
  <c r="K170" i="4"/>
  <c r="N170" i="4"/>
  <c r="P170" i="4"/>
  <c r="W170" i="4"/>
  <c r="H170" i="4"/>
  <c r="M170" i="4"/>
  <c r="O170" i="4"/>
  <c r="Q170" i="4"/>
  <c r="R170" i="4"/>
  <c r="T170" i="4"/>
  <c r="E13" i="7"/>
  <c r="E3" i="7"/>
  <c r="G170" i="4"/>
  <c r="C172" i="4"/>
  <c r="C173" i="4"/>
  <c r="C174" i="4"/>
  <c r="C175" i="4"/>
  <c r="C176" i="4"/>
  <c r="C177" i="4"/>
  <c r="I174" i="4"/>
  <c r="S174" i="4"/>
  <c r="V174" i="4"/>
  <c r="X174" i="4"/>
  <c r="L174" i="4"/>
  <c r="E170" i="4"/>
  <c r="E171" i="4" s="1"/>
  <c r="U171" i="4" l="1"/>
  <c r="U174" i="4"/>
  <c r="F171" i="4"/>
  <c r="F174" i="4"/>
  <c r="J171" i="4"/>
  <c r="J174" i="4"/>
  <c r="K171" i="4"/>
  <c r="K174" i="4"/>
  <c r="N171" i="4"/>
  <c r="N174" i="4"/>
  <c r="P171" i="4"/>
  <c r="P174" i="4"/>
  <c r="W171" i="4"/>
  <c r="W174" i="4"/>
  <c r="H171" i="4"/>
  <c r="H174" i="4"/>
  <c r="M171" i="4"/>
  <c r="M174" i="4"/>
  <c r="O171" i="4"/>
  <c r="O174" i="4"/>
  <c r="Q171" i="4"/>
  <c r="Q174" i="4"/>
  <c r="R171" i="4"/>
  <c r="R174" i="4"/>
  <c r="T171" i="4"/>
  <c r="T174" i="4"/>
  <c r="G171" i="4"/>
  <c r="G174" i="4"/>
  <c r="C178" i="4"/>
  <c r="E174" i="4"/>
  <c r="B2" i="7" l="1"/>
  <c r="E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tc={BC976E64-D479-A142-8C5D-9F319F6D67E1}</author>
  </authors>
  <commentList>
    <comment ref="A35" authorId="0" shapeId="0" xr:uid="{BC976E64-D479-A142-8C5D-9F319F6D67E1}">
      <text>
        <t>[Threaded comment]
Your version of Excel allows you to read this threaded comment; however, any edits to it will get removed if the file is opened in a newer version of Excel. Learn more: https://go.microsoft.com/fwlink/?linkid=870924
Comment:
    I have no idea what this 0 is or where is it coming from.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<sst xmlns="http://schemas.openxmlformats.org/spreadsheetml/2006/main" count="10640" uniqueCount="1664">
  <si>
    <t>Meta Data</t>
  </si>
  <si>
    <t>Dataset Information</t>
  </si>
  <si>
    <t>HAR Algorithm/Model Information and Preprocessing Steps</t>
  </si>
  <si>
    <t xml:space="preserve"> </t>
  </si>
  <si>
    <t>Availability</t>
  </si>
  <si>
    <t>Contribution Area</t>
  </si>
  <si>
    <t>Article ID</t>
  </si>
  <si>
    <t>Title</t>
  </si>
  <si>
    <t>First Author</t>
  </si>
  <si>
    <t>doi</t>
  </si>
  <si>
    <t>Date (Month)</t>
  </si>
  <si>
    <t>Date (Year)</t>
  </si>
  <si>
    <t>Dataset Name</t>
  </si>
  <si>
    <t>Data Public?</t>
  </si>
  <si>
    <t>Dataset Link (if self collected)</t>
  </si>
  <si>
    <t>Frequency (Hz)</t>
  </si>
  <si>
    <t>Range (± g)</t>
  </si>
  <si>
    <t>Device (Name + Brand)</t>
  </si>
  <si>
    <t>No. Participants</t>
  </si>
  <si>
    <t>Demographics</t>
  </si>
  <si>
    <t>Collection Protocol</t>
  </si>
  <si>
    <t>Balanced?</t>
  </si>
  <si>
    <t>No. Activities</t>
  </si>
  <si>
    <t>Activity Names</t>
  </si>
  <si>
    <t>Activitiy Definitions</t>
  </si>
  <si>
    <t>Sensor Location</t>
  </si>
  <si>
    <t>Base Algorithm or Architecture</t>
  </si>
  <si>
    <t>Compare Mult. Algs?</t>
  </si>
  <si>
    <t>Implementation (software/libraries)</t>
  </si>
  <si>
    <t>Hand Crafted Features?</t>
  </si>
  <si>
    <t xml:space="preserve">Features </t>
  </si>
  <si>
    <t>Window length (s)</t>
  </si>
  <si>
    <t>Overlap (%)</t>
  </si>
  <si>
    <t>Train/Test Split</t>
  </si>
  <si>
    <t>Metrics</t>
  </si>
  <si>
    <t>Performance of Wrist Accel Only (See…)</t>
  </si>
  <si>
    <t>Class Wise Evaluation</t>
  </si>
  <si>
    <t>Performance of Other Sensors (same dataset)</t>
  </si>
  <si>
    <t>Performance of same Algorithm on Other Datasets (not neccesarily WAO)</t>
  </si>
  <si>
    <t>Trained on a dataset and evaluated on another one</t>
  </si>
  <si>
    <t>Code?</t>
  </si>
  <si>
    <t xml:space="preserve">Code (Link) </t>
  </si>
  <si>
    <t>Trained Model Weights (open weight)</t>
  </si>
  <si>
    <t xml:space="preserve">Replicable? </t>
  </si>
  <si>
    <t>Why not replicable? (Defs in Sec. 4.3.1)</t>
  </si>
  <si>
    <t>Notes on replication</t>
  </si>
  <si>
    <t>Reproducible?</t>
  </si>
  <si>
    <t>Why not reproducible? (Defs in Sec. 4.3.1)</t>
  </si>
  <si>
    <t>Notes on reproduction</t>
  </si>
  <si>
    <t>Algorithm Improvement (e.g., architecture or preprocessing)</t>
  </si>
  <si>
    <t>A Hybrid Solution for Human Activity Recognition: Application to Wrist-Worn Accelerometry</t>
  </si>
  <si>
    <t>Manuel Abbas</t>
  </si>
  <si>
    <t>https://doi.org/10.1109/ICABME47164.2019.8940233</t>
  </si>
  <si>
    <t>Oct</t>
  </si>
  <si>
    <t>SC</t>
  </si>
  <si>
    <t>N/A</t>
  </si>
  <si>
    <t>LSM9DS1 by STMicroelectronics</t>
  </si>
  <si>
    <t>5 M, 5 F, 22-53 yo</t>
  </si>
  <si>
    <t>Semi- or highly-supervised</t>
  </si>
  <si>
    <t>N</t>
  </si>
  <si>
    <t>sitting, standing, walking, jogging, stairs</t>
  </si>
  <si>
    <t>activities derived from (1) walking towards a chair then sitting down, (2) sitting-down after being inactive for a while, (3) standing-up and staying inactive for a while, (4) standing-up then starting walking immediately.</t>
  </si>
  <si>
    <t>Linear and quadratic SVM, Random Forest, Artificial Neural Network (ANN) with one hidden layer of 10 neurons (shallow learning) and k-NN (k=5).</t>
  </si>
  <si>
    <t>Y</t>
  </si>
  <si>
    <t xml:space="preserve">See Section III A </t>
  </si>
  <si>
    <t>10-fold CV</t>
  </si>
  <si>
    <t>Accuracy</t>
  </si>
  <si>
    <t>Table 1</t>
  </si>
  <si>
    <t>IP</t>
  </si>
  <si>
    <t>DNA</t>
  </si>
  <si>
    <t>Characterizing Peaks in Acceleration Signals–Application to Physical Activity Detection Using Wearable Sensors</t>
  </si>
  <si>
    <t>https://doi.org/10.1109/JSEN.2020.3000394</t>
  </si>
  <si>
    <t>Jun</t>
  </si>
  <si>
    <t>LSDM9DS1</t>
  </si>
  <si>
    <t>4 M, 5 F, 24-53 yo (median of 33 yo), 48-80 kg, 158-180 cm</t>
  </si>
  <si>
    <t>C-1, C-2, C-3, C-4</t>
  </si>
  <si>
    <t>clapping hands (C-1), waving goodbye, shaking hands (C-2), walking slowly/quickly, going upstairs then downstairs (C-3) and jogging (C-4)</t>
  </si>
  <si>
    <t xml:space="preserve">RF, CNN, their solution (DT + SVM) </t>
  </si>
  <si>
    <t>"prominence, width, variability and entropy " or "mean, std, skewness, kurtosis, energy of the signal, frequency-domain entropy, interquartile range, root mean square and mean absolute deviation"</t>
  </si>
  <si>
    <t>10-fold and LOSO CV</t>
  </si>
  <si>
    <t>Table 2</t>
  </si>
  <si>
    <t>TTS</t>
  </si>
  <si>
    <t>IF</t>
  </si>
  <si>
    <t>Daily living activity recognition based on statistical feature quality group selection</t>
  </si>
  <si>
    <t>Oresti Banos</t>
  </si>
  <si>
    <t>https://doi.org/10.1016/j.eswa.2012.01.164</t>
  </si>
  <si>
    <t>Jul</t>
  </si>
  <si>
    <t>Bao + Intille</t>
  </si>
  <si>
    <t>Walking, sitting and relaxing, standing still and running</t>
  </si>
  <si>
    <t>C4.5 (DT), SVM with RBF kernel, NB</t>
  </si>
  <si>
    <t>See Sec. 2.2 and 2.3</t>
  </si>
  <si>
    <t>Figure 5</t>
  </si>
  <si>
    <t>Y* (lab + simfl within a single dataset)</t>
  </si>
  <si>
    <t>IS</t>
  </si>
  <si>
    <t>ANR</t>
  </si>
  <si>
    <t>Significant Features for Human Activity Recognition Using Tri-Axial Accelerometers</t>
  </si>
  <si>
    <t>Mohamed Bennasar</t>
  </si>
  <si>
    <t>https://doi.org/10.3390/s22197482</t>
  </si>
  <si>
    <t>HHAR</t>
  </si>
  <si>
    <t xml:space="preserve">100, 200 </t>
  </si>
  <si>
    <t>Samsung and LG smartwatch</t>
  </si>
  <si>
    <t>25-30 yo</t>
  </si>
  <si>
    <t>walking, biking, sitting, ascending stairs, descending stairs and standing</t>
  </si>
  <si>
    <t>SVM (linear kernel), KNN (k=3)</t>
  </si>
  <si>
    <t>MATLAB</t>
  </si>
  <si>
    <t>See Table 2</t>
  </si>
  <si>
    <t>5-fold CV</t>
  </si>
  <si>
    <t>Accuracy, F1</t>
  </si>
  <si>
    <t>Table 2, 3, 4</t>
  </si>
  <si>
    <t>PAMAP2</t>
  </si>
  <si>
    <t>1F, 8M, 24-32 yo</t>
  </si>
  <si>
    <t>Lying (6.7%), Sitting (13.06%), Walking (8.2%), Running (3.3%), Cycling (5.73%), Nordic walking (6.48%), Upstairs (4.08%), Downstairs (3.65), vacuum cleaning (6.13%), Ironing (8.31%), Rope jumping (1.92%), Other (transient activities) (32.44%)</t>
  </si>
  <si>
    <t>D</t>
  </si>
  <si>
    <t>Improving Deep Learning for HAR with Shallow LSTMs</t>
  </si>
  <si>
    <t>Marius Bock</t>
  </si>
  <si>
    <t>https://doi.org/10.1145/3460421.3480419</t>
  </si>
  <si>
    <t>Sep</t>
  </si>
  <si>
    <t>Biking, sitting, standing, walking, walking
upstairs and downstairs, (null)</t>
  </si>
  <si>
    <t>LSTMS (1 or 2 layered)</t>
  </si>
  <si>
    <t>PyTorch</t>
  </si>
  <si>
    <t>LOSO CV</t>
  </si>
  <si>
    <t>F1, Precision, Recall</t>
  </si>
  <si>
    <t>Fig. 2B</t>
  </si>
  <si>
    <t>https://github.com/mariusbock/dl-for-har/tree/main</t>
  </si>
  <si>
    <t>RealWorld HAR</t>
  </si>
  <si>
    <t>Walking upstairs, walking downstairs, jumping, lying, standing, sitting, running, walking, (null)</t>
  </si>
  <si>
    <t>Handling heterogeneity in Human Activity Recognition data by a compact Long Short Term Memory based deep learning approach</t>
  </si>
  <si>
    <t>Ahmed Cemiloglu</t>
  </si>
  <si>
    <t>https://doi.org/10.1016/j.engappai.2025.110788</t>
  </si>
  <si>
    <t xml:space="preserve">Aug </t>
  </si>
  <si>
    <t>100, 200</t>
  </si>
  <si>
    <t>Samsung Galaxy Gear and LG G</t>
  </si>
  <si>
    <t>Y (5 min/activity)</t>
  </si>
  <si>
    <t>stand, sit, walk, stairsup, stairsdown, bike</t>
  </si>
  <si>
    <t>B</t>
  </si>
  <si>
    <t>LSTM-CNN</t>
  </si>
  <si>
    <t>TensorFlow/Keras</t>
  </si>
  <si>
    <t>SS. 70/15/15</t>
  </si>
  <si>
    <t>F1, Precision, Recall, Accuracy</t>
  </si>
  <si>
    <t>Fig. 4, Table 5</t>
  </si>
  <si>
    <t>Y (Table 5)</t>
  </si>
  <si>
    <t>Activity classification using a single wrist-worn accelerometer</t>
  </si>
  <si>
    <t>Saisakul Chernbumroong</t>
  </si>
  <si>
    <t>https://doi.org/10.1109/SKIMA.2011.6089975</t>
  </si>
  <si>
    <t>eZ430-Chronos</t>
  </si>
  <si>
    <t>2 F, 27-35 yo</t>
  </si>
  <si>
    <t>Sitting, Standing, Lying, Walking, Running</t>
  </si>
  <si>
    <t>ND</t>
  </si>
  <si>
    <t>DT (C4.5) and ANN</t>
  </si>
  <si>
    <t>WEKA (DT)</t>
  </si>
  <si>
    <t>See Table 1</t>
  </si>
  <si>
    <t>5-fold CV (10 runs)</t>
  </si>
  <si>
    <t>Table IV</t>
  </si>
  <si>
    <t xml:space="preserve">NOTE: DT is likely replicable. </t>
  </si>
  <si>
    <t>Temporal Alignment Improves Feature Quality: An Experiment on Activity Recognition with Accelerometer Data</t>
  </si>
  <si>
    <t>Hongjun Choi</t>
  </si>
  <si>
    <t>https://doi.org/10.1109/CVPRW.2018.00075</t>
  </si>
  <si>
    <t>GENEActiv sensor</t>
  </si>
  <si>
    <t>18-64 yo</t>
  </si>
  <si>
    <t>Walking (treadmill at 1mph), Walking (treadmill at 4mph), Running (treadmill at 6mph, 5% grade), Seated/folding/stacking laundry, Standing/fidgeting with hand while talking, Hard surface walking holding filled coffee cup, Walking down stairs (5 floors)</t>
  </si>
  <si>
    <t>SVM (with RBF kernel)</t>
  </si>
  <si>
    <t>Libsvm toolbox</t>
  </si>
  <si>
    <t>"Finally, a 37-dimensional feature vector is used and calculated for each window for SVM training and prediction. The final features include: 1) Mean, variance, and root mean square values of the acceleration values on each of Cx, Cy, Cz and CE respectively. 2) Pearson correlation coefficients between all combinations of Cx, Cy, Cz and CE, frequency domain entropy, and the PSD from FFT values. 3) Difference between maximum and minimum accelerations on each axis (dx, dy, dz, dE), and the following 5 features [11]:"</t>
  </si>
  <si>
    <t>Varies: 50 samples - 1000 samples</t>
  </si>
  <si>
    <t>Ensemble Methods for Classification of Physical Activities from Wrist Accelerometry</t>
  </si>
  <si>
    <t>Aok Kumar Chowdhury</t>
  </si>
  <si>
    <t>10.1249/MSS.0000000000001291</t>
  </si>
  <si>
    <t>Sept</t>
  </si>
  <si>
    <t>Colobri IMU</t>
  </si>
  <si>
    <t>8 (from 12)</t>
  </si>
  <si>
    <t>lying down, sitting, standing, walking running, cycling, ascending stairs, descending stairs</t>
  </si>
  <si>
    <t>ensemble method. BDT, KNN, SVM, ANN, WMV, NB cominer, and BKS combiner</t>
  </si>
  <si>
    <t>Matlab</t>
  </si>
  <si>
    <t>See Sec. Feature Extraction</t>
  </si>
  <si>
    <t>F1</t>
  </si>
  <si>
    <t>Tables 2-4</t>
  </si>
  <si>
    <t>https://github.com/alokchy04/Decision-Fused-Ensembles-for-PA-Classification-from-Wrist-Worn-Accelerometer</t>
  </si>
  <si>
    <t>Empatica E4</t>
  </si>
  <si>
    <t>sit or stand still, self-paced comfortable walk, self-paced brisk walk, jogging, and fast-run</t>
  </si>
  <si>
    <t>ActiGraph GT3X+</t>
  </si>
  <si>
    <t>Lying down, sitting (handwriting, computer game), standing with upper body movements (throw and catch, laundry task, floor sweeping), walking (comfortable overground walk, brisk overground walk, brisk treadmill walk), running, basketball, and dance</t>
  </si>
  <si>
    <t>Situation identification in smart wearable computing systems based on machine learning and Context Space Theory</t>
  </si>
  <si>
    <t>Giuseppe D'Aniello</t>
  </si>
  <si>
    <t>https://doi.org/10.1016/j.inffus.2023.102197</t>
  </si>
  <si>
    <t>April</t>
  </si>
  <si>
    <t>Extrasensory</t>
  </si>
  <si>
    <t>Free-living</t>
  </si>
  <si>
    <t>Sitting, standing, lying down, walking, running</t>
  </si>
  <si>
    <t>ANN, NB, KNN, RF, and DT</t>
  </si>
  <si>
    <t>Python and sci-kit learn</t>
  </si>
  <si>
    <t>Y (from the original authors of the dataset)</t>
  </si>
  <si>
    <t>"magnitude standard deviation (std), magnitude moment 4, magnitude 75-percentile, magnitude log energy band 2, magnitude log energy band 3, magnitude log energy band 4, mean-x, mean-y, mean-z, std-x, std-y, std-z, direction cosine similarity"</t>
  </si>
  <si>
    <t>Accuracy, F1, Precision, Recall</t>
  </si>
  <si>
    <t>Table 5</t>
  </si>
  <si>
    <t>N (they include classwise evaluations just not of wrist only)</t>
  </si>
  <si>
    <t>https://github.com/knowmis/SAWCS-Situation-Identification-in-Smart-Wearable-Computing-Systems</t>
  </si>
  <si>
    <t>Comparing Supervised Learning Techniques on the Task of Physical Activity Recognition</t>
  </si>
  <si>
    <t>Anthony Dalton</t>
  </si>
  <si>
    <t>https://doi.org/10.1109/TITB.2012.2223823</t>
  </si>
  <si>
    <t>Jan</t>
  </si>
  <si>
    <t>10 M, 15 F, mean age: 23.6 (2.41) yo</t>
  </si>
  <si>
    <t>C4.5, NB, BayesNet, IB1, IBK, KStar, JRip, SVM, MLP, AdaBoost, AdaBoostM1, Bagging,MultiBoost, Vote (Table IV)</t>
  </si>
  <si>
    <t>MATLAB and WEKA</t>
  </si>
  <si>
    <t>See Table II</t>
  </si>
  <si>
    <t>Kappa</t>
  </si>
  <si>
    <t>Recognition of Human Behavior for Assisted Living Using Dictionary Learning Approach</t>
  </si>
  <si>
    <t>Pubali De</t>
  </si>
  <si>
    <t>https://doi.org/10.1109/JSEN.2017.2787616</t>
  </si>
  <si>
    <t>Dec</t>
  </si>
  <si>
    <t>WHARF</t>
  </si>
  <si>
    <t>11 M, 5 W</t>
  </si>
  <si>
    <t>getting up from the bed (GUB), sitting down on a chair (SDC) and standing up from a chair (SUC), reiterated actions (climbing stairs (CS) and walking (WK)) and complex actions (drinking water (DW) and pouring water from glasses (PWG))</t>
  </si>
  <si>
    <t>K-singular value decomposition (K-SVD) (theirs), SVM, KNN, SRC, CRC-RLS, competing  [12]</t>
  </si>
  <si>
    <t>SS. 80/20</t>
  </si>
  <si>
    <t>Accuracy, TN, TP</t>
  </si>
  <si>
    <t>Table 1, 3</t>
  </si>
  <si>
    <t>Multi-Criteria Analysis of Sensor Reliability for Wearable Human Activity Recognition</t>
  </si>
  <si>
    <t>Yilin Dong</t>
  </si>
  <si>
    <t>https://doi.org/10.1109/JSEN.2021.3089579</t>
  </si>
  <si>
    <t>MHEALTH</t>
  </si>
  <si>
    <t>Diverse profiles (see paper)</t>
  </si>
  <si>
    <t>standing still, sitting and relaxing, lying down, walking, climbing stairs, waist bends forward, frontal elevation of arms, knees bending, cycling, jogging, running, jump front and back</t>
  </si>
  <si>
    <t>R</t>
  </si>
  <si>
    <t>SVM, Hidden conditional random forest (HCRF), and CNN. They propose a fused LSTM (which is not relevant for this review)</t>
  </si>
  <si>
    <t>Y for tranditional models</t>
  </si>
  <si>
    <t>"hand-crafted features"</t>
  </si>
  <si>
    <t>10-fold CV (80/20 split within folds)</t>
  </si>
  <si>
    <t>Fig. 7</t>
  </si>
  <si>
    <t>Temporal-channel convolution with self-attention network for human activity recognition using wearable sensors</t>
  </si>
  <si>
    <t>Ehab Essa</t>
  </si>
  <si>
    <t>https://doi.org/10.1016/j.knosys.2023.110867</t>
  </si>
  <si>
    <t>Not fully specified, but included activities "such as brushing teeth, sitting down on a chair, eating with a spoon, climbing the stairs, and walking"</t>
  </si>
  <si>
    <t>LSTM, transformer, CSNET, TCCSNET</t>
  </si>
  <si>
    <t>Matched Filter Interpretation of CNN Classifiers with Application to HAR</t>
  </si>
  <si>
    <t>Mohammed M. Farag</t>
  </si>
  <si>
    <t>https://doi.org/10.3390/s22208060</t>
  </si>
  <si>
    <t>WISDM</t>
  </si>
  <si>
    <t xml:space="preserve">Walking, Upstairs, Downstairs, Sitting, Lying, Jogging </t>
  </si>
  <si>
    <t>MF CNN</t>
  </si>
  <si>
    <t>Keras/Tensorflow</t>
  </si>
  <si>
    <t>SS. 64/16/24</t>
  </si>
  <si>
    <t>Table 3</t>
  </si>
  <si>
    <t>AccNet24: A deep learning framework for classifying 24-hour activity behaviours from wrist-worn accelerometer data under free-living environments</t>
  </si>
  <si>
    <t>Vahid Farrahi</t>
  </si>
  <si>
    <t>https://doi.org/10.1016/j.ijmedinf.2023.105004</t>
  </si>
  <si>
    <t>Apr</t>
  </si>
  <si>
    <t>CAPTURE-24</t>
  </si>
  <si>
    <t xml:space="preserve">Axivity AX3 </t>
  </si>
  <si>
    <t xml:space="preserve">18-91 yo </t>
  </si>
  <si>
    <t>Sleep, sed, lpa, mvpa</t>
  </si>
  <si>
    <t xml:space="preserve">Table 1
</t>
  </si>
  <si>
    <t>Balanced RF, ANN, SVM, DT, NB, Acc-Net</t>
  </si>
  <si>
    <t>MATLAB, pyts package</t>
  </si>
  <si>
    <t>Y (when applicable)</t>
  </si>
  <si>
    <t>"For each window, we extracted a 112-dimensional feature vector. These features were selected from an extensive list of time and frequency domain features described in previous studies [18,24,25] and are listed in online supplemental Table 1. The extracted features were used as inputs for balanced RF, ANN, SVM, DT, and NB to classify sleep, sedentary behaviour, LPA, and MVPA. "</t>
  </si>
  <si>
    <t>SS. 67/16.5/16.5</t>
  </si>
  <si>
    <t>Fig. 3</t>
  </si>
  <si>
    <t>A Comparative Study on Fitness Activity Recognition</t>
  </si>
  <si>
    <t>Igor Lopes de Faria</t>
  </si>
  <si>
    <t>https://doi.org/10.1145/3243082.3267452</t>
  </si>
  <si>
    <t>2 M, 2 F, 25-30 yo</t>
  </si>
  <si>
    <t xml:space="preserve"> walking and running on the tread-
mill and the dumbbell biceps curl</t>
  </si>
  <si>
    <t>"The treadmill speed could not be more than seven kilometers per hour and the running speed could not be less than this value. For the exercise of stimulating biceps it was not necessary to use dumbbells, only the execution of the movement, being a choice of the volunteer to use the dumbbells or not."</t>
  </si>
  <si>
    <t>KNN, j48, NB, SVM, MLP</t>
  </si>
  <si>
    <t>"In the pre-processing phase, we extracted two time-domain features for these sensors: average and standard deviation."</t>
  </si>
  <si>
    <t>Improving Activity Recognition while Reducing Misclassification of Unknown Activities</t>
  </si>
  <si>
    <t>Andrea Fasciglione</t>
  </si>
  <si>
    <t>https://doi.org/10.1109/WETICE53228.2021.00039</t>
  </si>
  <si>
    <t>"Healthy"</t>
  </si>
  <si>
    <t>1. Relaxing on a chair , 7. Brushing Teeth, 13. Downstairs, 2. Keyboard Typing, 8. Sweeping, 14. Walking, 3. Using the Laptop, 9. Vacuuming, 15. Walking Fast, 4. Handwriting, 10. Eating (a soup), 16. Upstairs Fast, 5. Washing Hands, 11. Dusting surface, 17. Upstairs, 6. Washing Face, 12. Rubbing surface</t>
  </si>
  <si>
    <t xml:space="preserve">Ensemble method. Five traditional models predicting at once (SVM, DT, RF, KNN, and gaussian NB). Majority of the votes is the final prediction; no majority vote "other" class. </t>
  </si>
  <si>
    <t>"During the features extraction, the sliding window passes over the data and, for each axis (X, Y, Z), different measures are extracted from the data contained in the window: mean, variance, standard deviation, median absolute deviation, percentiles (10Th, 25Th, 75Th, 90Th), obtaining a total of 24 features."</t>
  </si>
  <si>
    <t xml:space="preserve">N/A (Features are extracted from 2s windows with 95% overlap but results are discussed from 5s windows (50 samples). They also investigated multiple window sizes to remove outliers. </t>
  </si>
  <si>
    <t>SS. 75/25</t>
  </si>
  <si>
    <t>Table 2 and 3</t>
  </si>
  <si>
    <t>Modelling time-series data generation with diffusion models for triaxial data</t>
  </si>
  <si>
    <t>Francisco M. Garcia-Moreno</t>
  </si>
  <si>
    <t>https://doi.org/10.1016/j.asoc.2025.114195</t>
  </si>
  <si>
    <t>Y (See Table 2)</t>
  </si>
  <si>
    <t>5 (a subset of the original 18)</t>
  </si>
  <si>
    <t>walking, jogging, stairs (ascending + descensing), sitting, and standing</t>
  </si>
  <si>
    <t>Diffusion Models using recurrence plots: VGG-16, ResNet-18, ResNet-34, ResNext-50, InceptionResNetv2</t>
  </si>
  <si>
    <t>2.56 (129 samples)</t>
  </si>
  <si>
    <t>LOTO (leave one trial out) CV and LOSO CV</t>
  </si>
  <si>
    <t>Accuracy, F1, Precision, Recall, and Specificity</t>
  </si>
  <si>
    <t>Tables 4-11 and Fig. 8+ 9</t>
  </si>
  <si>
    <t>https://github.com/crowsonkb/k-diffusion</t>
  </si>
  <si>
    <t>How Accurately Can Your Wrist Device Recognize Daily Activities and Detect Falls?</t>
  </si>
  <si>
    <t>Martin Gjoreski</t>
  </si>
  <si>
    <t>https://doi.org/10.3390/s16060800</t>
  </si>
  <si>
    <t>May</t>
  </si>
  <si>
    <t>SC (Faculty of Sports)</t>
  </si>
  <si>
    <t>Y*</t>
  </si>
  <si>
    <t>Link seems dead.</t>
  </si>
  <si>
    <t>Shimmer 2R</t>
  </si>
  <si>
    <t>Avg ave 27.2 (3.1) yo, 8 M, 2 F</t>
  </si>
  <si>
    <t>lying (23%), standing (17%), walking (14%), sitting (12%), cycling (10), on all fours (8%), kneeling (6%), running (5%), bending and transition</t>
  </si>
  <si>
    <t>J48, RF, NB, SVM, KNN</t>
  </si>
  <si>
    <t>SC (JSI)</t>
  </si>
  <si>
    <t>Xsens-MTx inertial sensors</t>
  </si>
  <si>
    <t>Healthy, 29.4 (2.1) yo, 4 M, 1 F</t>
  </si>
  <si>
    <t>cycling (18%), walking (17%), standing (14%), lying (13%), sitting (11%), running (9%), on all fours (7%), kneeling (5), bending (3.5), and transition (2.5%)</t>
  </si>
  <si>
    <t>Fig. 6</t>
  </si>
  <si>
    <t>Opportunity</t>
  </si>
  <si>
    <t>InertiaCube3</t>
  </si>
  <si>
    <t>standing (50%), walking (28%), sitting (19%), and lying (3%)</t>
  </si>
  <si>
    <t>Fig. 8</t>
  </si>
  <si>
    <t>Reducing the Impact of Sensor Orientation Variability in Human Activity Recognition Using a Consistent Reference System</t>
  </si>
  <si>
    <t>Manuel Gil-Martín</t>
  </si>
  <si>
    <t>https://doi.org/10.3390/s23135845</t>
  </si>
  <si>
    <t>lying, sitting, standing, walking, running, cycling, Nordic walk, ascending stairs, descending stairs, ironing, vacuum cleaning, and rope jumping</t>
  </si>
  <si>
    <t>CNN</t>
  </si>
  <si>
    <t>LOSO CV and 10-fold CV by subject</t>
  </si>
  <si>
    <t>Table 3 and 4</t>
  </si>
  <si>
    <t>NOTE: LOSO may be reproducible.</t>
  </si>
  <si>
    <t>Towards Learning Discrete Representations via Self-Supervision for Wearables-Based Human Activity Recognition</t>
  </si>
  <si>
    <t>Harish Haresamudram</t>
  </si>
  <si>
    <t>https://doi.org/10.3390/s24041238</t>
  </si>
  <si>
    <t>Feb</t>
  </si>
  <si>
    <t>50 (downsampled)</t>
  </si>
  <si>
    <t>Smartwatches (LG G and Samsung Galaxy Gear)</t>
  </si>
  <si>
    <t>Biking, sitting, going up and down the stairs, standing, and walking</t>
  </si>
  <si>
    <t>CNN, ConvLSTM, GRU, Multi-task self supervised, autoencoder, simclr, cpc, enchanced cpc, vq cpc + lstm, vq + gru</t>
  </si>
  <si>
    <t>0 (train), 50 (overlap for target)</t>
  </si>
  <si>
    <t xml:space="preserve">Table 2, Table 8. Table 6 uses embeddings learned from CAPTURE-24 data. </t>
  </si>
  <si>
    <t>Deep Learning Approach for Complex Activity Recognition using Heterogeneous Sensors from Wearable Device</t>
  </si>
  <si>
    <t>Narit Hnoohom</t>
  </si>
  <si>
    <t>https://doi.org/10.1109/RI2C51727.2021.9559773</t>
  </si>
  <si>
    <t>Android Wear 1.5 wearable (LG G Watch)</t>
  </si>
  <si>
    <t>Att-BiLSTM and BiLSTM</t>
  </si>
  <si>
    <t>TensorFlow, Numpy, Pandas, and Scikit-Learn libraries</t>
  </si>
  <si>
    <t>Multiple tested</t>
  </si>
  <si>
    <t>Table 4</t>
  </si>
  <si>
    <t>Activity Recognition with Wristband Based on Histogram and Bayesian Classifiers</t>
  </si>
  <si>
    <t>Yi-Cong Huang</t>
  </si>
  <si>
    <t>https://doi.org/10.1109/SIPROCESS.2019.8868412</t>
  </si>
  <si>
    <t>walking, office working, eating, sporting and resting</t>
  </si>
  <si>
    <t xml:space="preserve">Historgram with Bayesian classifier </t>
  </si>
  <si>
    <t xml:space="preserve">"Some useful motion features of these 4 seconds data blocks such as the energies, the time indices corresponding to the zero crossing points as well as the time indices of the crossing points of three different threshold values are extracted. Based on these motion feature vectors, a k means clustering algorithm [13] with the one norm operator as the criterion is performed for assigning the feature vectors [14]. Here, the feature vectors are classified into 9 clusters. Since the features are related to the energies and the time indices of the crossing points of different threshold values, the obtained cluster labels are related to the magnitudes of the motions." 
See Figure 3.4 </t>
  </si>
  <si>
    <t>20 s increment taken from 1 m, split into 4s windows for feautre extraction</t>
  </si>
  <si>
    <t>Table 1, 2, 3</t>
  </si>
  <si>
    <t>A Comprehensive Analysis on Wearable Acceleration Sensors in Human Activity Recognition</t>
  </si>
  <si>
    <t>Majid Janidarmian</t>
  </si>
  <si>
    <t>https://doi.org/10.3390/s17030529</t>
  </si>
  <si>
    <t>Aggregated 14 datasets</t>
  </si>
  <si>
    <t>Listed for each dataset</t>
  </si>
  <si>
    <t xml:space="preserve">228 across all datasets (not all have wrist data) </t>
  </si>
  <si>
    <t>19-83 yo</t>
  </si>
  <si>
    <t>Variable across datasets</t>
  </si>
  <si>
    <t>walking, running, jogging, cycling, standing, sitting, lying down, ascending and descending stairs</t>
  </si>
  <si>
    <t xml:space="preserve">293 different classifiers (DT, discriminant analysis, SVM, KNN, ensemble methods, NB, and NN) </t>
  </si>
  <si>
    <t xml:space="preserve">Varies from 1 - 15 s in 1s intervals </t>
  </si>
  <si>
    <t>Fig. 5</t>
  </si>
  <si>
    <t>Topological persistence guided knowledge distillation for wearable sensor data</t>
  </si>
  <si>
    <t xml:space="preserve">Eun Som Jeon </t>
  </si>
  <si>
    <t>https://doi.org/10.1016/j.engappai.2023.107719</t>
  </si>
  <si>
    <t>GENEActiv</t>
  </si>
  <si>
    <t xml:space="preserve">See Figure 5
</t>
  </si>
  <si>
    <t>Teacher (CNN) / Student (WRN, wideresnet) model</t>
  </si>
  <si>
    <t>Scikit-TDA (images)</t>
  </si>
  <si>
    <t>SS. 70/30</t>
  </si>
  <si>
    <t>N* (they say released upon acceptance)</t>
  </si>
  <si>
    <t>Deep Neural Networks for Time Series Classification in Human Activity Recognition</t>
  </si>
  <si>
    <t>Shreehar Joshi</t>
  </si>
  <si>
    <t>https://doi.org/10.1109/IEMCON53756.2021.9623228</t>
  </si>
  <si>
    <t>13 (from 18)</t>
  </si>
  <si>
    <t>1. Non-hand-oriented activities: a. Standing, b. Jogging, c. Stairs, d. Sitting, e. Walking
2. Hand-oriented activities: a. Typing, b. Writing, c. Brushing, d. Folding Clothes, e. Dribbling (Basketball), f. Playing (Catch), g. Eating (Pasta), h. Clapping 
"While the dataset initially consisted of raw data for 18 activities, those that were highly similar in nature (for instance, different variants of eating such as eating chips, sandwich, pasta, etc) are discarded and only 13 of them that are unique are used for this research."</t>
  </si>
  <si>
    <t>BiLSTM, CNN-LSTM, ConvLSTM, and CNN</t>
  </si>
  <si>
    <t>keras and sklearn</t>
  </si>
  <si>
    <t>Table 1, Fig. 5</t>
  </si>
  <si>
    <t>Rich learning representations for human activity recognition: How to empower deep feature learning for biological time series</t>
  </si>
  <si>
    <t>Ria Kanjilal</t>
  </si>
  <si>
    <t>https://doi.org/10.1016/j.jbi.2022.104180</t>
  </si>
  <si>
    <t>Mannini</t>
  </si>
  <si>
    <t>Wocket</t>
  </si>
  <si>
    <t>33 "adults", 20 "youth"</t>
  </si>
  <si>
    <t xml:space="preserve">ambulation, cycling, other, sedentary </t>
  </si>
  <si>
    <t>6 popular SotA models. Deep feed-forward neural network (DFNN), autoencoder deep feedforward neural network (AE-DFNN), one-dimensional convolutional neural network (1D-CNN), two-dimensional convolutional neural network (2D-CNN), recurrent neural network with long short-term memory (RNN-LSTM) and feature engineering using deep feed-forward neural network (FE-DFNN). Their novel model is a 2D CNN using a spectrogram as input.</t>
  </si>
  <si>
    <t>A general framework for sensor-based human activity recognition</t>
  </si>
  <si>
    <t>Lukas Köping</t>
  </si>
  <si>
    <t>https://doi.org/10.1016/j.compbiomed.2017.12.025</t>
  </si>
  <si>
    <t>Microdoft Band 2</t>
  </si>
  <si>
    <t>1. lying, 2. sitting, 3. standing, 4. walking, 5. bending, 6. getting up, 7. lying down, 8.
putting a hand back, 9. sitting down, 10. standing up, and 11. stretching a hand.</t>
  </si>
  <si>
    <t>SVM (RBF kernel)</t>
  </si>
  <si>
    <t>Mean Average Precision (MAP)</t>
  </si>
  <si>
    <t>Fig. 10, 11</t>
  </si>
  <si>
    <t>Y* (only feature extraction, not full algorithm)</t>
  </si>
  <si>
    <t>http://www.pr.iN/Aormatik.uni-siegen.de/en/
human-activity-recognition</t>
  </si>
  <si>
    <t>A Deep Learning-Based Semantic Segmentation Model Using MCNN and Attention Layer for Human Activity Recognition</t>
  </si>
  <si>
    <t>Sang-hyub Lee</t>
  </si>
  <si>
    <t>https://doi.org/10.3390/s23042278</t>
  </si>
  <si>
    <t>LIS2DS12TR, STMicroelectronics</t>
  </si>
  <si>
    <t>All males, 20-40 yo</t>
  </si>
  <si>
    <t>get-up, laying stand-up, picking, sitting, walking, walking-picking, walking-sitting, stand-up-walking, sitting-laying, get-up-stand-up, picking-walking,get-up-laying, laying-get-up, stand-up,=picking, stand-up-sitting, picking-sitting, sitting-stand-up</t>
  </si>
  <si>
    <t xml:space="preserve">Combinataions of GRU, RNN, LSTM, CNN, proposed model is MCNN with attention (16 evaluated in total) </t>
  </si>
  <si>
    <t>.6, 1.3, and 2.6 s (10, 20, and 40 samples)</t>
  </si>
  <si>
    <t>Accelerometer Dense Trajectories for Activity Recognition and People Identification</t>
  </si>
  <si>
    <t>Roberto Leyva</t>
  </si>
  <si>
    <t>https://doi.org/10.1109/IWBF.2019.8739218</t>
  </si>
  <si>
    <t>SPHERE</t>
  </si>
  <si>
    <t>10 (from 20)</t>
  </si>
  <si>
    <t>t_turn, t_straighten, t_stand_sit, t_stand_kneel, t_sit_stand, t_sit_lie, t_lie_sit, t_kneel_stand, t_bend, p_stand, p_squat, p_sit, p_lie, p_kneel, p_bent, a_walk, a_loadwalk, a_jump, a_descend, a_ascend</t>
  </si>
  <si>
    <t>DNN</t>
  </si>
  <si>
    <t>See Sec. III A and B</t>
  </si>
  <si>
    <t>Human activity recognition based on triaxial accelerometer using multi-feature weighted ensemble</t>
  </si>
  <si>
    <t>QingNan Li</t>
  </si>
  <si>
    <t>https://doi.org/10.1109/INDIN45582.2020.9442172</t>
  </si>
  <si>
    <t>July</t>
  </si>
  <si>
    <t>2 F, 2 M</t>
  </si>
  <si>
    <t>shaking hands, waving hand, lying, walking, picking things up, bending over to pick things up, sit-down-stand-up, and open-close door</t>
  </si>
  <si>
    <t>KNN, attention LSTM, 1D CNN, ensemble method (theirs), CNN-LSTM</t>
  </si>
  <si>
    <t>See Section IIC</t>
  </si>
  <si>
    <t>SS. 60/12/28</t>
  </si>
  <si>
    <t>Fig. 4, Table 3</t>
  </si>
  <si>
    <t>Human Activity Recognition in Free Living Using a Wearable Sensor: A Two-Stage Approach</t>
  </si>
  <si>
    <t>Tianhui Li</t>
  </si>
  <si>
    <t>https://doi.org/10.1109/iCAST57874.2023.10359305</t>
  </si>
  <si>
    <t>Nov</t>
  </si>
  <si>
    <t>"Healthy" male</t>
  </si>
  <si>
    <t>desk working, driving, walking, downstairs, upstairs</t>
  </si>
  <si>
    <t>DT and DL (with Covs).
They use a two-stage classifier: DT for classification of exercise or not, DL for within the two classes.</t>
  </si>
  <si>
    <t xml:space="preserve">Scikit learn </t>
  </si>
  <si>
    <t>"Then, statistical features were extracted from the segments including mean, maximum, minimax, standard derivation, kurtosis, and skewness. Substantially, the features were standardized by removing the mean and scaling to unit variance"</t>
  </si>
  <si>
    <t>Accuracy, Sensitivity, Specificity</t>
  </si>
  <si>
    <t>Frequency-Aware Masked Autoencoders for Human Activity Recognition using Accelerometers</t>
  </si>
  <si>
    <t>Niels R. Lorenzen</t>
  </si>
  <si>
    <t>10.1109/EMBC58623.2025.11252605</t>
  </si>
  <si>
    <t>UK BioBank</t>
  </si>
  <si>
    <t>30 (downsampled from 100)</t>
  </si>
  <si>
    <t>Axivity AX3</t>
  </si>
  <si>
    <t xml:space="preserve">103,618. Additionally, they used 151 participants data from CAPTURE-24 to fine-tune and evaluate the model. </t>
  </si>
  <si>
    <t>6 activities (unless otherwise specified. Models were fine-tuned on CAP-24 data.)</t>
  </si>
  <si>
    <t>Bicycling, walking, mixed, vehicle, sit-stand, and sleep</t>
  </si>
  <si>
    <t xml:space="preserve">TMAE (transformer masked autoencoder) </t>
  </si>
  <si>
    <t xml:space="preserve">SS. 80 (80/20 as 5 fold CV) / 20 split </t>
  </si>
  <si>
    <t>Macro F1, Cohen's Kappa</t>
  </si>
  <si>
    <t>Table 1, Figure 2</t>
  </si>
  <si>
    <t>Research on human activity recognition based on active learning</t>
  </si>
  <si>
    <t>Rong Liu</t>
  </si>
  <si>
    <t>https://doi.org/10.1109/ICMLC.2010.5581050</t>
  </si>
  <si>
    <t>MIT (not cited) Bao + Intille</t>
  </si>
  <si>
    <t>Includes walking, sitting, working on computer,
standing, eating or drinking, running, bicycling,
vacuuming, folding laundry.</t>
  </si>
  <si>
    <t>C4.5 DT</t>
  </si>
  <si>
    <t>SS. Variable split, 25-45% in training set</t>
  </si>
  <si>
    <t>Table 1, 2</t>
  </si>
  <si>
    <t>MFE-HAR: multiscale feature engineering for human activity recognitionusing wearable sensors</t>
  </si>
  <si>
    <t>Jianchao Lu</t>
  </si>
  <si>
    <t>https://doi.org/10.1145/3360774.3360787</t>
  </si>
  <si>
    <t>DaLiAc</t>
  </si>
  <si>
    <t>"healthy"</t>
  </si>
  <si>
    <t>sitting, lying, standing, washing dishes, vacuuming, sweeping, walking, ascending stairs, descending stairs, treadmill running, bicycling on ergometer (50W), bicycling on ergometer (100W) and rope jumping.</t>
  </si>
  <si>
    <t xml:space="preserve">GBDT, RF, LR, KNN, and SVM 
NOTE: their novel model uses more than wrist-accelerometer only data. </t>
  </si>
  <si>
    <t>Python 3.6</t>
  </si>
  <si>
    <t>"3.1.1 Global Features. In this study, we extract six general features, i.e., mean, variance, maximum, minimum, skewness and kurtosis, as global features for each signal segment excluding non-stationary signals from every accelerometer axis. Besides the three-axis accelerometer signals, the magnitude of x, y and z axis is also used for feature extraction. In total, this results in 24 global features per sensor node by timing 4 (x,y,z and magnitude) and 6 (6 general features mentioned above). 3.1.2 Local Features. Similar to global features, mean, variance, maximum, minimum, skewness and kurtosis are extracted for each frame as local features. Thus, they comprise 24 (same as the number of global features)×4 (frames) = 96 local features. Moreover, 3 Delta local features, corresponding to the changes of signal pattern distribution are also calculated in this study."</t>
  </si>
  <si>
    <t>Fig. 4, 7</t>
  </si>
  <si>
    <t>standing still, sitting and relaxing, lying down, walking, climbing stairs, waist bends forward, frontal elevation of arms, knees bending (crouching), cycling, jogging, running, and jump front and back.</t>
  </si>
  <si>
    <t>Robust Single Accelerometer-Based Activity Recognition Using Modified Recurrence Plot</t>
  </si>
  <si>
    <t>Jianjie Lu</t>
  </si>
  <si>
    <t>https://doi.org/10.1109/JSEN.2019.2911204</t>
  </si>
  <si>
    <t>Aug</t>
  </si>
  <si>
    <t xml:space="preserve">ASTRI </t>
  </si>
  <si>
    <t>ASTRI wrist band</t>
  </si>
  <si>
    <t>"different genders and
ages"</t>
  </si>
  <si>
    <t>walking, sitting, standing, squatting and lying</t>
  </si>
  <si>
    <t>7 baselines: RF, SVM, CNN, DTW+1NN (dynamic time warping), STN+Clustering, LSTM+FCN, and RP+ResNET (their model is a novel RP+ResNet)</t>
  </si>
  <si>
    <t>"a total of 21 statistical features in the time and frequency domains."</t>
  </si>
  <si>
    <t>SS. In user-mixed experiments, 70/30. In user-independent experiments, data of 4 (for ASTRI Motion dataset) or 5 subjects (for ADL dataset) are selected randomly for testing.</t>
  </si>
  <si>
    <t>https://github.com/lulujianjie/robust-single-accelerometer-based-activity-recognition-using-modified-recurrence-plot</t>
  </si>
  <si>
    <t>climbing stairs, drinking water, getting up bed, pouring water, sitting down, standing up, and  walking</t>
  </si>
  <si>
    <t>A two-stage multi-branch fusion model for human activity recognition based on sensor data transformed by gramian angular difference field</t>
  </si>
  <si>
    <t>Limeng Lu</t>
  </si>
  <si>
    <t>https://doi.org/10.1016/j.bspc.2025.109141</t>
  </si>
  <si>
    <t>Mar</t>
  </si>
  <si>
    <t>SC (WSMC-HAR)</t>
  </si>
  <si>
    <t>Available upon request.</t>
  </si>
  <si>
    <t>All males.</t>
  </si>
  <si>
    <t>jogging, running, sitting, upstairs, downstairs</t>
  </si>
  <si>
    <t>Fusion model/GADF (theirs), CNN, LSTM-CNN, LSTM-RNN, GRF, GMN, Mdk-ResNet</t>
  </si>
  <si>
    <t>Y (They compare solely against other results from other papers. Results may not be directly compared.)</t>
  </si>
  <si>
    <t>Keras</t>
  </si>
  <si>
    <t>6.4 (128 samples)</t>
  </si>
  <si>
    <t>Accuracy, Loss, F1,Precision, Recall</t>
  </si>
  <si>
    <t>Table 4, Fig. 10</t>
  </si>
  <si>
    <t>Y (Fig 10)</t>
  </si>
  <si>
    <t>Wearable Computing for Internet of Things: A Discriminant Approach for Human Activity Recognition</t>
  </si>
  <si>
    <t>Wei Lu</t>
  </si>
  <si>
    <t>https://doi.org/10.1109/JIOT.2018.2873594</t>
  </si>
  <si>
    <t>Shimmer2</t>
  </si>
  <si>
    <t>Lab</t>
  </si>
  <si>
    <t>See Table 4</t>
  </si>
  <si>
    <t>SVM, bagging, and KNN</t>
  </si>
  <si>
    <t>Accuracy, F1 Precision, Recall</t>
  </si>
  <si>
    <t>Table 8, 9, 10, 11</t>
  </si>
  <si>
    <t>Data augmentation for Human Activity Recognition with Generative Adversarial Networks</t>
  </si>
  <si>
    <t>Marcos Lupion</t>
  </si>
  <si>
    <t>10.1109/JBHI.2024.3364910</t>
  </si>
  <si>
    <t xml:space="preserve">April </t>
  </si>
  <si>
    <t>Cleland</t>
  </si>
  <si>
    <t>"undergraduate students"</t>
  </si>
  <si>
    <t>hand washing, hair grooming, standing, sitting, walking, catching, passign, bouncing, seving floor, chopping vegs, arm curls, lateral arm raise, deadlifes, stepping, jogging, washing dishes, window washing, mizing food, ironing clothes, teeth brushing</t>
  </si>
  <si>
    <t>cGAN, cWGAN</t>
  </si>
  <si>
    <t xml:space="preserve">Selected 18 final features from 24. They do not say which 18. </t>
  </si>
  <si>
    <t>SS. 70/20/10</t>
  </si>
  <si>
    <t>Fig. 9 - 11</t>
  </si>
  <si>
    <t>https://github.com/marcoslupion/SyntheticAccelerometryHAR</t>
  </si>
  <si>
    <t>Smart-Wearable Sensors and CNN-BiGRU Model: A Powerful Combination for Human Activity Recognition</t>
  </si>
  <si>
    <t>Hazma Ali Imran</t>
  </si>
  <si>
    <t>https://doi.org/10.1109/JSEN.2023.3338264</t>
  </si>
  <si>
    <t>18-25 yo</t>
  </si>
  <si>
    <t>See Figure 2</t>
  </si>
  <si>
    <t>"HARDenseRNN" Deep RNN (with CNNs)</t>
  </si>
  <si>
    <t>TensorFlow</t>
  </si>
  <si>
    <t>Magnitude of signal</t>
  </si>
  <si>
    <t xml:space="preserve">experimented with 64, 128, and 256 samples </t>
  </si>
  <si>
    <t>16, 32, 64 and 128-step overlap</t>
  </si>
  <si>
    <t xml:space="preserve">Accuracy, F1, Precision, Recall, Sensitivity </t>
  </si>
  <si>
    <t>Age Differences in Estimating Physical Activity by Wrist Accelerometry Using Machine Learning</t>
  </si>
  <si>
    <t>Mamoun T. Mardini</t>
  </si>
  <si>
    <t>https://doi.org/10.3390/s21103352</t>
  </si>
  <si>
    <t>SC (ChoresXL)</t>
  </si>
  <si>
    <t>ActiGraph GT3X-BT</t>
  </si>
  <si>
    <t>20+ yo, able to read and write in English</t>
  </si>
  <si>
    <t xml:space="preserve">Leisure Walk, Rapid Walk, Light Gardening, Yard Work, Prepare Serve Meal, Digging, Straightening Up Dusting, Washing Dishes, Unloading Storing Dishes, Walk at RPE 1, Personal Care, Dressing, Walk at RPE 5, Sweeping, Vacuuming, Stiar Descent, Stair Ascent, Trash Remoal, Replacign Sheets on a Bed, Stretching Yoga, Mopping, Light Home Maintenance, Computer Work, Heavy Lifting, Shpping, Ironing, Laundry Washing, Stength Exercise Leg Curl, Strength Exercise Chest Press, Strength Exercise Leg Extension, TV Watching, Standing Still, Washing Windows. </t>
  </si>
  <si>
    <t>DT, RF, XGBoost, and LASSO. Classification tasks included PA type, sedentary vs not, locomotion vs not, and PA levels across 3 age groups (20-50, 50-70, 70+)</t>
  </si>
  <si>
    <t>Accuracy, AUC, Balanced Accuracy, F1</t>
  </si>
  <si>
    <t>Fig. 2 and 3</t>
  </si>
  <si>
    <t>User-Independent Recognition of Sports Activities From a Single Wrist-Worn Accelerometer: A Template-Matching-Based Approach</t>
  </si>
  <si>
    <t>Jenny Margarito</t>
  </si>
  <si>
    <t>https://doi.org/10.1109/TBME.2015.2471094</t>
  </si>
  <si>
    <t>Philips DirectLife, Philips Consumer Lifestyle, Amsterdam, The Netherlands</t>
  </si>
  <si>
    <t>24 F,  24 M, age: 29 (9) yo. "The population included 29 normal weight subjects (16 females and 13 males, body mass index
BMI = 22 kg/m2 on average) with a BMI below the threshold of 25 kg/m2 and 19 overweight subjects (8 females and
11 males, BMI = 27 kg/m2 on average) with a BMI higher
than 25 kg/m2."</t>
  </si>
  <si>
    <t xml:space="preserve">cycling, cross trainer, rowing, running, squatting, stepping, walking, weight lifitng </t>
  </si>
  <si>
    <t>Euclidean, DTW, DDTW, RCE, DT, NB, LR, ANN</t>
  </si>
  <si>
    <t>See Table 5</t>
  </si>
  <si>
    <t>SS. 50/50 for normal weight (no data from overweight population used in training)</t>
  </si>
  <si>
    <t xml:space="preserve">Sensitivity </t>
  </si>
  <si>
    <t>An Activity Recognition Framework Deploying the Random Forest Classifier and A Single Optical Heart Rate Monitoring and Triaxial Accelerometer Wrist-Band</t>
  </si>
  <si>
    <t>Saeed Mehrang</t>
  </si>
  <si>
    <t>https://doi.org/10.3390/s18020613</t>
  </si>
  <si>
    <t>pulseOn CLOUD</t>
  </si>
  <si>
    <t>25 (5 excluded)</t>
  </si>
  <si>
    <t>All male adults. 28.1 (3.8) yo, mean body mass index (BMI) of 24.8 (3.4) kg/m2</t>
  </si>
  <si>
    <t>Sitting, Standing, Household activities, Stationary Cycling (high intensity), Stationary Cycling (low Intensity)</t>
  </si>
  <si>
    <t>RF</t>
  </si>
  <si>
    <t>R for preporcess, and Sklearn</t>
  </si>
  <si>
    <t>"From ACC signals, both time and frequency domain features were extracted. In the time domain, features were the mean and standard deviation of the absolute value of each axis. Absolute values were used since the subjects were wearing the device on either the left or right wrists depending on which one was their dominant hand. From the three ACC axes, signal magnitude area (SMA), mean, standard deviation, median, mean absolute deviation and the median absolute deviation of signal magnitude vector (SMV), as well as correlations between each pair of the three axes were calculated [6]. In the frequency domain, the relative energy of each axis in different frequency bands ((0 − 1], (1 − 2],(2 − 3],(3 − 4],(4 − 5],(5 − 6],(6 − 7],(7 − 8],(8 − 9],(9 − 10],(10 − 12.5) Hz) was computed for each window using short-time Fourier transform (STFT). In addition, the dominant frequency and its magnitude in the whole frequency range (0 − 12.5 Hz) of each axis in each window were computed"</t>
  </si>
  <si>
    <t>1 to 21</t>
  </si>
  <si>
    <t>Sec. 4.3</t>
  </si>
  <si>
    <t>Sensor-based Complex Human Activity Recognition from Smartwatch Data using Hybrid Deep Learning Network</t>
  </si>
  <si>
    <t>Sakorn Mekruksavanich</t>
  </si>
  <si>
    <t>https://doi.org/10.1109/ITC-CSCC52171.2021.9501477</t>
  </si>
  <si>
    <t>DHA</t>
  </si>
  <si>
    <t>Apple Watch 2</t>
  </si>
  <si>
    <t>office working, reading, writing, taking a rest, playing a game, eating, cooking, dish washing, walking, running, raking transport</t>
  </si>
  <si>
    <t>"In workplaces, five tasks were considered: office work, reading, writing, sleeping, and playing a video game. Writing an email, writing a letter, and coding are all examples of office work. In kitchens, three things were considered: dining, cooking, and dish washing. The remaining three events were deemed suitable for outdoor participation."</t>
  </si>
  <si>
    <t>CNN, LSTM, (their novel CNN with LSTM uses location data)</t>
  </si>
  <si>
    <t>Python v.3.6.9, TensorFlow v.2.2.0, Keras v.2.3.1, Scikit-Learn, Numpy v.1.18.5, and Pandas v.1.0.5</t>
  </si>
  <si>
    <t>5, 10, 20, 30, 40s</t>
  </si>
  <si>
    <t>RNN-based deep learning for physical activity recognition using smartwatch sensors: A case study of simple and complex activity recognition</t>
  </si>
  <si>
    <t>Sakron Mekruksavanich</t>
  </si>
  <si>
    <t>10.3934/mbe.2022265</t>
  </si>
  <si>
    <t>LG G Watch</t>
  </si>
  <si>
    <t>Walking, Jogging, Stairs, Sitting, Standing, Typing, Brushing Teeth, Eating Soup, Eating Chips, Eating Pasta, Drinking from Cup, Eating Sandwich, Kicking, Playing, Dribbling, Writing, Clapping, Folding Cloths, Walking, Jogging, Stairs, Sitting, Standing, Typing, Brushing Teeth, Eating Soup, Eating Chips, Eating Pasta, Drinking from Cup, Eating Sandwich, Kicking, Playing, Dribbling, Writing, Clapping, Folding Cloths</t>
  </si>
  <si>
    <t>CNN, LSTM, BiLSTM, GRU, BiGRU, Att-BiGRU</t>
  </si>
  <si>
    <t>Described in 4.1</t>
  </si>
  <si>
    <t>0 or 50</t>
  </si>
  <si>
    <t>LOPO CV</t>
  </si>
  <si>
    <t>Recognizing and Understanding Sport Activities Based on Wearable Sensor Signals Using Deep Residual Network</t>
  </si>
  <si>
    <t>https://doi.org/10.1109/RI2C60382.2023.10356022</t>
  </si>
  <si>
    <t>IM-Sporting Behaviors Dataset</t>
  </si>
  <si>
    <t>table tennis, soccer, biking, badminton, basketball, and skipping</t>
  </si>
  <si>
    <t>ResNet (compared to other DL models). LSTM, CNN, BiLSTM, GRU, BiGRU</t>
  </si>
  <si>
    <t xml:space="preserve">Accuracy, Loss, F1 </t>
  </si>
  <si>
    <t>Efficient Recognition of Complex Human Activities Based on Smartwatch Sensors Using Deep Pyramidal Residual Network</t>
  </si>
  <si>
    <t>https://doi.org/10.1109/ICITEE59582.2023.10317707</t>
  </si>
  <si>
    <t>Apple Watch</t>
  </si>
  <si>
    <t>Office work, reading, writing, talking a rest, playing a game, eating, cooking, washing dishes, walking, running, taking transport</t>
  </si>
  <si>
    <t xml:space="preserve">1D pyramid net. CNN, LSTM, BiLSTM, GRU, BiGRU </t>
  </si>
  <si>
    <t>Accuracy, F1, Loss</t>
  </si>
  <si>
    <t>Deep Learning Networks for Complex Activity Recognition Based on Wrist-Worn Sensor</t>
  </si>
  <si>
    <t>https://doi.org/10.1109/TENCON58879.2023.10322430</t>
  </si>
  <si>
    <t>11 M, 5 F, 19-81 yo</t>
  </si>
  <si>
    <t xml:space="preserve">Clean teeth, comb hair, rise from the bed, lie down on the bed, sit down on a chair, stand up from a chair, sip from a glass, dine with utensils, eat with spoon, pour water into a glass, make a telephone call, climb the stairs,descend the stairs, walk
</t>
  </si>
  <si>
    <t>CNN, LSTM, BiLSTM, GRU, BiGRU, CNN-BI-GRU</t>
  </si>
  <si>
    <t>Python, TF, Keras, Scikit learn, Numpy, and Pandas</t>
  </si>
  <si>
    <t>Effect of Sliding Window Sizes on Sensor-Based Human Activity Recognition Using Smartwatch Sensors and Deep Learning Approaches</t>
  </si>
  <si>
    <t>10.1109/IBDAP62940.2024.10689691</t>
  </si>
  <si>
    <t>Free-living (4 week protocol)</t>
  </si>
  <si>
    <t>Office work, Reading, Writing, Taking a rest, Playing a game, Eating, Cooking, Washing dishes, Walking, Running, Taking a transport</t>
  </si>
  <si>
    <t>CNN, LSTM, BiLSTM, CNN-LSTM</t>
  </si>
  <si>
    <t>Variable. 5, 10, 20, 30, and 40</t>
  </si>
  <si>
    <t>0, 50</t>
  </si>
  <si>
    <t>Accuracy, Precision, Recall, F1</t>
  </si>
  <si>
    <t>Table II (non-overlapping windows) and Table III (50% overlap)</t>
  </si>
  <si>
    <t>A Deep Hybrid Neural Network for Efficient Human Activity Recognition Based on Accelerometer Data from Wristband</t>
  </si>
  <si>
    <t>10.1109/ICSESS67729.2025.11380320</t>
  </si>
  <si>
    <t>TWristAR</t>
  </si>
  <si>
    <t>walking, walking upstairs, walking downstairs, jogging, sitting, standing</t>
  </si>
  <si>
    <t>CNN-CBAM-BiGRU (theirs), CNN, LSTM, BiLSTM, GRU, BiGRU</t>
  </si>
  <si>
    <t>Python 3.6.9, TensorFlow 2.2.0, Keras 2.3.1, Scikit-Learn 0.23.2, NumPy 1.18.5, Pandas 1.0.5, and Matplotlib 3.2.2</t>
  </si>
  <si>
    <t>Y (Fig 5)</t>
  </si>
  <si>
    <t>Evaluating the Impact of a Two-Stage Multivariate Data Cleansing Approach to Improve to the Performance of Machine Learning Classifiers: A Case Study in Human Activity Recognition</t>
  </si>
  <si>
    <t>Dionicio Neira-Rodado</t>
  </si>
  <si>
    <t>https://doi.org/10.3390/s20071858</t>
  </si>
  <si>
    <t>Shimmer</t>
  </si>
  <si>
    <t>KNN, SVM, RF,  NN, and Regression</t>
  </si>
  <si>
    <t>R and WEKA</t>
  </si>
  <si>
    <t>See Table 3</t>
  </si>
  <si>
    <t>10-fold CV (with 66/34 split in folds)</t>
  </si>
  <si>
    <t>Table 5, 6, 7</t>
  </si>
  <si>
    <t>Design and assessment of the data analysis process for a wrist-worn smart object to detect atomic activities in the smart home</t>
  </si>
  <si>
    <t xml:space="preserve">Qin Ni </t>
  </si>
  <si>
    <t>https://doi.org/10.1016/j.pmcj.2019.03.006</t>
  </si>
  <si>
    <t>"Healthy" adults</t>
  </si>
  <si>
    <t>L</t>
  </si>
  <si>
    <t>RF, KNN, J48, MLP, NB, SVM</t>
  </si>
  <si>
    <t>WEKA + MATLAB</t>
  </si>
  <si>
    <t>256 (samples, no reported s)</t>
  </si>
  <si>
    <t>Accuracy, F1, MAE, ROC, Sensitivitiy, Specificity</t>
  </si>
  <si>
    <t>Table 5, 7, 8</t>
  </si>
  <si>
    <t>Language of actions: A generative model for activity recognition and next move prediction from motion sensors</t>
  </si>
  <si>
    <t>Hasan Ogul</t>
  </si>
  <si>
    <t>https://doi.org/10.1016/j.eswa.2024.125947</t>
  </si>
  <si>
    <t>HMP</t>
  </si>
  <si>
    <t>getting up from bed, sitting down and standing up from a chair, climbing the stairs, walking, drinking and pouring water, and eating</t>
  </si>
  <si>
    <t>VLMC</t>
  </si>
  <si>
    <t>N (they use a action move dictionary which can be akin to features)</t>
  </si>
  <si>
    <t>N  (they include classwise evaluations just not of wrist only)</t>
  </si>
  <si>
    <t>Building robust models for Human Activity Recognition from raw accelerometers data using Gated Recurrent Units and Long Short Term Memory Neural Networks</t>
  </si>
  <si>
    <t>Jeremiah Okai</t>
  </si>
  <si>
    <t>https://doi.org/10.1109/EMBC.2019.8857288</t>
  </si>
  <si>
    <t>GOTOv</t>
  </si>
  <si>
    <t>14 F, 21 M, avg. age 65</t>
  </si>
  <si>
    <t>lying down, sitting, standing and several household chores, such as dishwashing, stakingShelves and vacuumCleaning. The outdoor activities included the different types of walking: walking Slow, walking Normal, walking Fast and cycling</t>
  </si>
  <si>
    <t xml:space="preserve">RNN with LSTM + GRU </t>
  </si>
  <si>
    <t>Fig. 1 and 2</t>
  </si>
  <si>
    <t>An Approach towards Position-Independent Human Activity Recognition Model based on Wearable Accelerometer Sensor</t>
  </si>
  <si>
    <t xml:space="preserve">Naima Qamar </t>
  </si>
  <si>
    <t>https://doi.org/10.1016/j.procs.2020.10.028</t>
  </si>
  <si>
    <t xml:space="preserve">1F, 8M, 25-30 yo </t>
  </si>
  <si>
    <t>lying (a1), sitting (a2), standing (a3), ironing (a4), vacuuming (a5), walking upstairs (a6), walking downstairs (a7), ascend stairs (a8), descend stairs (a9), cycling (a10), and running (a11)</t>
  </si>
  <si>
    <t>RF, SVM-SMO, KNN, BN, J48</t>
  </si>
  <si>
    <t>Accuracy, F1,  Precision, Sensitivity</t>
  </si>
  <si>
    <t>A Transformer Based Approach for Activity Detection</t>
  </si>
  <si>
    <t>Gulshan Sharma</t>
  </si>
  <si>
    <t>https://doi.org/10.1145/3503161.3551598</t>
  </si>
  <si>
    <t>harAGE</t>
  </si>
  <si>
    <t>cycling, laying, running, sitting, stair climbing, standing, walking, and, washing hands</t>
  </si>
  <si>
    <t>1D+ 2D CNNS. Transformer Network</t>
  </si>
  <si>
    <t>Macro Recall</t>
  </si>
  <si>
    <t>An adaptive time window method for human activity recognition</t>
  </si>
  <si>
    <t>Zhang Sheng</t>
  </si>
  <si>
    <t>https://doi.org/10.1109/CCECE.2015.7129445</t>
  </si>
  <si>
    <t>iNemo sensor module (STEVAL-MKI062)</t>
  </si>
  <si>
    <t>upstairs, downstairs, standing, walking, running, sitting</t>
  </si>
  <si>
    <t>WEKA</t>
  </si>
  <si>
    <t>"Using the data in a time window as an instance we extract features including mean of the acceleration in three axes, the correlation between three axes, and the spectrum energy"</t>
  </si>
  <si>
    <t>Adaptive</t>
  </si>
  <si>
    <t>AUC ROC, FPR, Precision, Recall</t>
  </si>
  <si>
    <t xml:space="preserve">Fig. 4
</t>
  </si>
  <si>
    <t>Mobile sensor based human activity recognition: distinguishing of challenging activities by applying long short-term memory deep learning modified by residual network concept</t>
  </si>
  <si>
    <t>Seyed Vahab Shojaedini</t>
  </si>
  <si>
    <t>10.1007/s13534-020-00160-x</t>
  </si>
  <si>
    <t>June</t>
  </si>
  <si>
    <t xml:space="preserve">walking, jogging, stairs, standing, sitting, eating soup, eating sandwhich, eating chips </t>
  </si>
  <si>
    <t>CNN, ConvLSTM, and ConvLSTM+ResNet</t>
  </si>
  <si>
    <t>TF</t>
  </si>
  <si>
    <t>"a window length of 90" (90 s or 4.5 s)</t>
  </si>
  <si>
    <t>Tables 4, 6, 8</t>
  </si>
  <si>
    <t>Transportation Mode Recognition Based on Low-Rate Acceleration and Location Signals With an Attention-Based Multiple-Instance Learning Network</t>
  </si>
  <si>
    <t>Christos Siargkas</t>
  </si>
  <si>
    <t>10.1109/TITS.2024.3387834</t>
  </si>
  <si>
    <t>SHL (Preview)</t>
  </si>
  <si>
    <t>10 (downsampled from 100)</t>
  </si>
  <si>
    <t>Free-living (3 day protocol)</t>
  </si>
  <si>
    <t>still, walk, run, bike, car, bus, train, and subway</t>
  </si>
  <si>
    <t xml:space="preserve">ANN </t>
  </si>
  <si>
    <t>N/A (used in some features)</t>
  </si>
  <si>
    <t>LOSO CV. (80/20 split within participants)</t>
  </si>
  <si>
    <t>Table I</t>
  </si>
  <si>
    <t>Improving the classification accuracy of streaming data using SAX similarity features</t>
  </si>
  <si>
    <t>Pekka Siirtola</t>
  </si>
  <si>
    <t>https://doi.org/10.1016/j.patrec.2011.06.025</t>
  </si>
  <si>
    <t xml:space="preserve">Accelerometer from VTI technologies </t>
  </si>
  <si>
    <t>roller skating, aerobics, walking, running, and Nordic walking.</t>
  </si>
  <si>
    <t>kNN, LDA, QDA, C4.5 and naive Bayes.</t>
  </si>
  <si>
    <t>Fig. 6, Table 3, 4</t>
  </si>
  <si>
    <t>Smart Devices are Different: Assessing and Mitigating Mobile Sensing Heterogeneities for Activity Recognition</t>
  </si>
  <si>
    <t>Allan Stisen</t>
  </si>
  <si>
    <t>https://doi.org/10.1145/2809695.2809718</t>
  </si>
  <si>
    <t xml:space="preserve">Nov </t>
  </si>
  <si>
    <t>https://cs.au.dk/~allans/heterogenity/</t>
  </si>
  <si>
    <t>200 and 100</t>
  </si>
  <si>
    <t>LG G and Samsung Galaxy Gear</t>
  </si>
  <si>
    <t>‘Biking’, ‘Sitting’, ‘Standing’, ‘Walking’, ‘Stair Up’ and ‘Stair down’</t>
  </si>
  <si>
    <t xml:space="preserve"> C4.5 decision tree, linear support vector machines, K-nearest
neighbor, and random forest ensemble learner.</t>
  </si>
  <si>
    <t>See Table 2 and 3.</t>
  </si>
  <si>
    <t>10-fold, LOSO CV, leave-one-(watch)model-out CV</t>
  </si>
  <si>
    <t>Weighted F1</t>
  </si>
  <si>
    <t>Figure 7</t>
  </si>
  <si>
    <t>Ngram time series model to predict activity type and energy cost from wrist, hip and ankle accelerometers: implications of age</t>
  </si>
  <si>
    <t>Scott J Strath</t>
  </si>
  <si>
    <t>10.1088/0967-3334/36/11/2335</t>
  </si>
  <si>
    <t>Actigraph GT3x</t>
  </si>
  <si>
    <t xml:space="preserve">8 (from 12) </t>
  </si>
  <si>
    <t>slow walk, walk, fast walk, computer work, vacuuming, sweeping/mopping, carrying boxes, walking with intermittent stair climbing</t>
  </si>
  <si>
    <t>SVM</t>
  </si>
  <si>
    <t>See Sec. Data processing: physical activity accelerometer—Ngram-based feature representation (Fig 1)</t>
  </si>
  <si>
    <t xml:space="preserve">Table 3 </t>
  </si>
  <si>
    <t>CapsGaNet: Deep Neural Network Based on Capsule and GRU for Human Activity Recognition</t>
  </si>
  <si>
    <t>Xiaojie Sun</t>
  </si>
  <si>
    <t>https://doi.org/10.1109/JSYST.2022.3153503</t>
  </si>
  <si>
    <t>SC (DAAD)</t>
  </si>
  <si>
    <t>SDUISv1</t>
  </si>
  <si>
    <t xml:space="preserve">6 M, 6 F, 24-34 yo </t>
  </si>
  <si>
    <t>handclap, running, sitting, walking, waving, punching down, punching straight, and slapping.</t>
  </si>
  <si>
    <t>SVM, CNN, GRU, CApsNEt, CApsGaNET</t>
  </si>
  <si>
    <t xml:space="preserve"> TensorFlow-gpu 1.11.0</t>
  </si>
  <si>
    <t>Table 7</t>
  </si>
  <si>
    <t>On-body localization of wearable devices: An investigation of position-aware activity recognition</t>
  </si>
  <si>
    <t>Timo Sztyler</t>
  </si>
  <si>
    <t>https://doi.org/10.1109/PERCOM.2016.7456521</t>
  </si>
  <si>
    <t>SC (Realworld HAR)</t>
  </si>
  <si>
    <t>LG G Watch R</t>
  </si>
  <si>
    <t xml:space="preserve">31.9 (12.4) yo, 173.1 (6.9) cm, 74.1 (13.8) kg, 8 M, 7 F </t>
  </si>
  <si>
    <t>climbing stairs down (A1) and up (A2), jumping (A3), lying (A4), standing (A5), sitting (A6), running/ jogging (A7), and walking (A8)</t>
  </si>
  <si>
    <t>F1, FP rate, Precision, Recall</t>
  </si>
  <si>
    <t>Table 2 and 9</t>
  </si>
  <si>
    <t>https://github.com/sztyler/sensorfeatureextraction</t>
  </si>
  <si>
    <t>Position-aware activity recognition with wearable devices</t>
  </si>
  <si>
    <t>https://doi.org/10.1016/j.pmcj.2017.01.008</t>
  </si>
  <si>
    <t>LG G watch R</t>
  </si>
  <si>
    <t>31.9 (12.4) yo, 173.1 (6.9) cm, weight 74.1 (13.8) kg, 8 M, 7 F</t>
  </si>
  <si>
    <t>stairs down (A1) and up (A2), jumping (A3), lying (A4), standing (A5), sitting (A6), running/jogging (A7), and walking (A8)</t>
  </si>
  <si>
    <t>Randomly, LOSO CV, TopPairs CV, and Physical CV</t>
  </si>
  <si>
    <t>Table 9, 10</t>
  </si>
  <si>
    <t>Quantum-based Gated Recurrent Units for Multiclass Classification to Monitor Daily Living Activities for Early Disease Detection</t>
  </si>
  <si>
    <t>Bao-Nhi Dang Tran</t>
  </si>
  <si>
    <t>10.1109/HealthCom60970.2024.10880739</t>
  </si>
  <si>
    <t xml:space="preserve">N, but they applied techniques to handle the imbalance. </t>
  </si>
  <si>
    <t>8 (grouped from 14 raw activities)</t>
  </si>
  <si>
    <t>Get up &amp; lay down, walk, eat &amp; drink, stairs, telephone, sit down &amp; stand up, brush teeth, comb hair</t>
  </si>
  <si>
    <t>QGRU-MC</t>
  </si>
  <si>
    <t>Python and Pennylane library</t>
  </si>
  <si>
    <t>"mean, median, standard deviation, interquartile range, and
correlation among the three axes over each of these fixedlength windows, without any overlap between adjacent windows"</t>
  </si>
  <si>
    <t xml:space="preserve">SS. 80 (80/20 train/validatation) / 20 split </t>
  </si>
  <si>
    <t>Accuracy, F1, Precision, and Recall</t>
  </si>
  <si>
    <t>Table II</t>
  </si>
  <si>
    <t>An Improved Activity Recognition Method Based on Smart Watch Data</t>
  </si>
  <si>
    <t>Dengpan Tian</t>
  </si>
  <si>
    <t>https://doi.org/10.1109/CSE-EUC.2017.148</t>
  </si>
  <si>
    <t>iGwatch by Qingdao iGuan Technology</t>
  </si>
  <si>
    <t>Standing, walking, running, upstiars, downstairs</t>
  </si>
  <si>
    <t>DT</t>
  </si>
  <si>
    <t>MATLAB (CART alg)</t>
  </si>
  <si>
    <t>"mean value, standard deviation, kurtosis, peak-to-peak value of X, Y, Z, \alpha and \gamma in each window" (Sec IV.B)</t>
  </si>
  <si>
    <t xml:space="preserve">Table 2 </t>
  </si>
  <si>
    <t>Selective Ensemble Based on Extreme Learning Machine for Sensor-Based Human Activity Recognition</t>
  </si>
  <si>
    <t>Yiming Tian</t>
  </si>
  <si>
    <t>https://doi.org/10.3390/s19163468</t>
  </si>
  <si>
    <t>TRIGNO</t>
  </si>
  <si>
    <t>"healthy students" 20-34 yo, mean age: 26, 3 M, 2 F</t>
  </si>
  <si>
    <t>walking, running, going upstairs, going downstairs, jumping and standing.</t>
  </si>
  <si>
    <t>DMGSOSEN ensemble method with 50, 100, 150, and 200 different pools to classify (ensemble models are best on ELMS (extreme leearning models))</t>
  </si>
  <si>
    <t>"These features include the maximum, the minimum, the mean value, standard deviation σ, skewness S, kurtosis K, correlation coefficient C between three axes, signal magnitude area (SMA), and number of zero crossings which is number of zero crossings in a window after subtracting the window mean value from every window sample."</t>
  </si>
  <si>
    <t>Table 2-5</t>
  </si>
  <si>
    <t>A Novel Sensor-Based Human Activity Recognition Method Based on Hybrid Feature Selection and Combinational Optimization</t>
  </si>
  <si>
    <t>https://doi.org/10.1109/ACCESS.2021.3100580</t>
  </si>
  <si>
    <t>TRIGNOTM wireless system from Delsys Company</t>
  </si>
  <si>
    <t>20-45 yo</t>
  </si>
  <si>
    <t>walking (W), going upstairs (GU), going downstairs (GD), running (R), jumping (J) and one static activity standing (S).</t>
  </si>
  <si>
    <t>Kernel extreme learning machine (KELM)</t>
  </si>
  <si>
    <t>Accuracy, F1,  Precision, Recall</t>
  </si>
  <si>
    <t>Table 11</t>
  </si>
  <si>
    <t>Human activity recognition based on random forests</t>
  </si>
  <si>
    <t>Lu Xu</t>
  </si>
  <si>
    <t>https://doi.org/10.1109/FSKD.2017.8393329</t>
  </si>
  <si>
    <t>Microsoft band 2</t>
  </si>
  <si>
    <t>walking, upstairs, downstiars, jumpting, running, keeping static</t>
  </si>
  <si>
    <t>DT (trained on CART), FNN, RF with various numbers of trees</t>
  </si>
  <si>
    <t>~1</t>
  </si>
  <si>
    <t>SS. 65/35</t>
  </si>
  <si>
    <t>Fig. 2, 4, 6</t>
  </si>
  <si>
    <t>Activity Recognition Using One-Versus-All Strategy with Relief-F and Self-Adaptive Algorithm</t>
  </si>
  <si>
    <t>M. N Shah Zainudin</t>
  </si>
  <si>
    <t>https://doi.org/10.1109/ICOS.2018.8632818</t>
  </si>
  <si>
    <t>1 F, 8 M, all employed, 27.22 (3.31) yo, average body mass index (BMI) ranging from 25.11 ± 2.62kg.</t>
  </si>
  <si>
    <t xml:space="preserve">Lying, sitting, standing, walking, running, nordic walk, watch tv, comp work, car driving, ascending, descending, vacuum, ironing, folding, cleaning, play soccer, jump rope </t>
  </si>
  <si>
    <t>"Subsequently, additional features are extracted from each window segment to describe the activity characteristic. Extracted features are expected to represent the relevant iN/Aormation by reducing the representation of data stream. In such states, the features from two groups: statistical and frequency features are derived. "</t>
  </si>
  <si>
    <t>SS: 70/30. 10-fold CV in training; holdout strategy used for evaluation</t>
  </si>
  <si>
    <t>Table 2, 3</t>
  </si>
  <si>
    <t>An enhanced dual inception-attention-BiGRU-attention model integrating wavelet transform for wearable sensor-based human activity recognition</t>
  </si>
  <si>
    <t>Xingao Zhang</t>
  </si>
  <si>
    <t>10.1038/s41598-025-32859-1</t>
  </si>
  <si>
    <t xml:space="preserve">MPU6050 </t>
  </si>
  <si>
    <t>All males. "Mean age of 21 ±3 years, a mean weight of 66 ±14 kg, and a mean height of 175 ±20 cm."</t>
  </si>
  <si>
    <t>upstairs, downstairs, sitting, running, jogging</t>
  </si>
  <si>
    <t>Dual-INABA (theirs), CNN, CNN-LSTM, LSTM-RNN, Multi-Channel CNN-CRU, Multi-input CNN-GRU, iSPIception, Inception-GRU-Attention</t>
  </si>
  <si>
    <t>"TensorFlow in version 2.9.0, a widely acclaimed deep learning network, alongside Pandas
version 2.0.3 and NumPy version 1.24.3 for data manipulation and numerical computations."</t>
  </si>
  <si>
    <t>Accuracy, Recall, Precision, F1</t>
  </si>
  <si>
    <t>Table 4 , 6, 7 (their model), 8, 9</t>
  </si>
  <si>
    <t>Y (Fig 12)</t>
  </si>
  <si>
    <t>https://github.com/Mongoman1021/Dual-INABA-and-WSMC-HAR</t>
  </si>
  <si>
    <t>Data must be requested.</t>
  </si>
  <si>
    <t>Human Activity Recognition Based on Motion Sensor Using U-Net</t>
  </si>
  <si>
    <t>Yong Zhang</t>
  </si>
  <si>
    <t>https://doi.org/10.1109/ACCESS.2019.2920969</t>
  </si>
  <si>
    <t>Sanitation workers</t>
  </si>
  <si>
    <t>Walk, Run, Sweep, Bsweep, Clean, Dump and Daily activities</t>
  </si>
  <si>
    <t>Walk, Run, Sweep, Bsweep (sweep using a big broom), Clean, Dump and Daily activities (like sitting and smoking)</t>
  </si>
  <si>
    <t>U net (they compared against a lot of other models SVM, DT, CNN, LSTM, ConvLSTM, FCN, Segnet, mask RCNN)</t>
  </si>
  <si>
    <t>TensorFlow and Keras</t>
  </si>
  <si>
    <t>"Both WISDM dataset and HAPT dataset include the raw data and the extracted features data. 242 features from OPP Gesture dataset and 57 features from Sanitation dataset are extracted manually, including the means, variances and so on. The extracted features datasets are available online."</t>
  </si>
  <si>
    <t>96 samples</t>
  </si>
  <si>
    <t>SS. 49/21/30 (70% of data used for training seperated into a 70/30 train/validation set)</t>
  </si>
  <si>
    <t>Accuracy, WF1</t>
  </si>
  <si>
    <t>https://github.com/zhangzhao156/Human-Activity-Recognition-Codes-Datasets</t>
  </si>
  <si>
    <t>Comparison of Data Preprocessing Approaches for Applying Deep Learning to Human Activity Recognition in the Context of Industry 4.0</t>
  </si>
  <si>
    <t>Xiaochen Zheng</t>
  </si>
  <si>
    <t>https://doi.org/10.3390/s18072146</t>
  </si>
  <si>
    <t>31.9 (12.4) yo, 173.1 (6.9) cm, and weight 74.1 ± 13.8, with eight males and seven females)</t>
  </si>
  <si>
    <t>climbing stairs down (A1), climbing stairs up (A2), jumping (A3), lying (A4), jogging (A5), standing (A6), sitting (A7), and walking (A8)</t>
  </si>
  <si>
    <t>Y (for some experiments)</t>
  </si>
  <si>
    <t>0 (can  vary for spectorograms). See Sec. 3.2</t>
  </si>
  <si>
    <t>SS. 90/10 by participant</t>
  </si>
  <si>
    <t>https://www.researchgate.net/publication/317180890_Step-by-step_introduction_to_acceleration_data_classification_using_deep_learning_methods</t>
  </si>
  <si>
    <t>A Human Activity Recognition Model Based on Wearable Sensor</t>
  </si>
  <si>
    <t>Fan Zhou</t>
  </si>
  <si>
    <t>https://doi.org/10.1109/ICDH57206.2022.00033</t>
  </si>
  <si>
    <t xml:space="preserve">Oct </t>
  </si>
  <si>
    <t xml:space="preserve">Sit, stand, fo slow, go fast, upstairs, downstairs, jog, run fast </t>
  </si>
  <si>
    <t>CNN, RNN, and ConvRNN. Also SVM, DT, RF</t>
  </si>
  <si>
    <t>signal magnitude</t>
  </si>
  <si>
    <t xml:space="preserve">Table 3, 4
</t>
  </si>
  <si>
    <t>Personalized HAR</t>
  </si>
  <si>
    <t>Personalized Activity Recognition with Deep Triplet Embeddings</t>
  </si>
  <si>
    <t>David Burns</t>
  </si>
  <si>
    <t>https://doi.org/10.3390/s22145222</t>
  </si>
  <si>
    <t>50 (upsampled from 20)</t>
  </si>
  <si>
    <t>Android smartwatch</t>
  </si>
  <si>
    <t>47 (51 were collected but four were excluded due to data issues during collection)</t>
  </si>
  <si>
    <t>Walking, jogging, ascending/descending stairs, sitting, standing, kicking a soccer ball,
dribbling a basketball, catching a tennis ball, typing, writing, clapping, brushing teeth, folding clothes, eating pasta, eating soup, eating a sandwich, eating chips, drinking from a cup</t>
  </si>
  <si>
    <t xml:space="preserve"> fully-convolutional neural network (FCN), personalized engineered feature
model (PEF), personalized deep feature model (PDF), personalized triplet network trained with conventional
triplet loss (PTN†), and the personalized triplet model trained with patient-specific triplet loss (PTN)</t>
  </si>
  <si>
    <t>Keras, Seglearn, and Scikit-learn</t>
  </si>
  <si>
    <t>Y (for baseline algorithms)</t>
  </si>
  <si>
    <t>"mean, median, absolute energy, standard, deviation, variance, minimum, maximum, skewness, kurtosis, mean spectral energy, and mean crossings. The features are individually computed for each of the data channels in the dataset. All features are individually scaled to unit norm and zero mean across the training dataset."</t>
  </si>
  <si>
    <t xml:space="preserve">Accuracy </t>
  </si>
  <si>
    <t>https://github.com/dmbee/fcn-core</t>
  </si>
  <si>
    <t>Activity Recognition Using Community Data to Complement Small Amounts of Labeled Instances</t>
  </si>
  <si>
    <t>Enrique Garcia-Ceja</t>
  </si>
  <si>
    <t>10.3390/s16060877</t>
  </si>
  <si>
    <t>(1) brush teeth; (2) climb stairs; (3) comb hair; (4) descend stairs; (5) drink glass; (8) get out of bed; (9) lie-down in bed; (10) pour water; (11) sit-down in chair; (12) stand-up from chair; (13) use telephone; and (14) walk.</t>
  </si>
  <si>
    <t>Unclear architecutre. They make user-dependent (a model using only the users data) and personal (general models that have been fine tuned) models. Personal model are called PM. They also use genral models (GM)</t>
  </si>
  <si>
    <t>Y (we don't know what model it is but they do different evaluations for PM, GM, and user-dependent)</t>
  </si>
  <si>
    <t>"mean for each axis, standard deviation for each axis, maximum value of each axis, correlation between each pair of axes, mean of the magnitude, standard deviation of the magnitude, mean difference of the magnitude, and area under the curve of the magnitude"</t>
  </si>
  <si>
    <t xml:space="preserve">Fig. 2 and 11 </t>
  </si>
  <si>
    <t>N (they have for other datasets but not for WAO)</t>
  </si>
  <si>
    <t>Classifier Personalization for Activity Recognition Using Wrist Accelerometers</t>
  </si>
  <si>
    <t>Andrea Mannini</t>
  </si>
  <si>
    <t>https://doi.org/10.1109/JBHI.2018.2869779</t>
  </si>
  <si>
    <t>Jul.</t>
  </si>
  <si>
    <t>"adults"</t>
  </si>
  <si>
    <t>Ambulation, Cycling, Other activities, Sedentary</t>
  </si>
  <si>
    <t>LibSVM toolbox</t>
  </si>
  <si>
    <t>"Features were computed using SM data from each window, again following prior work [8]. Temporal and frequency features consisted of mean value, standard deviation, maximum value, range, first dominant frequency, ratio between the power at the dominant frequency and the total power, ratio between the power at frequencies higher than 3.5 Hz and the total power, and two signal fragmentation features (i.e., the number of high activity samples in the window, and the number of activations episodes in the window, see [8]). Signal fragmentation features that capture the level and duration of activity bursts within the window were also computed using the SM, as in previous work [8]."</t>
  </si>
  <si>
    <t>F1, Accuracy</t>
  </si>
  <si>
    <t>Y (Youth and Adult in the same dataset)</t>
  </si>
  <si>
    <t>"youths"</t>
  </si>
  <si>
    <t>Smartwatch based activity recognition using active learning</t>
  </si>
  <si>
    <t>Farhad Shahmohammadi</t>
  </si>
  <si>
    <t>https://doi.org/10.1109/CHASE.2017.115</t>
  </si>
  <si>
    <t>Samsung Gear Live</t>
  </si>
  <si>
    <t>8 M, 4 F, 22-28 yo</t>
  </si>
  <si>
    <t>running, walking, standing, sitting, and lying down.</t>
  </si>
  <si>
    <t>RF, ET, NB, LR, SVM</t>
  </si>
  <si>
    <t>Fig. 4 and 5</t>
  </si>
  <si>
    <t>From Lab to Real World: Assessing the Effectiveness of Human Activity Recognition and Optimization through Personalization</t>
  </si>
  <si>
    <t>Marija Stojchevska</t>
  </si>
  <si>
    <t>https://doi.org/10.3390/s23104606</t>
  </si>
  <si>
    <t>cycling, running, standing still, and walking</t>
  </si>
  <si>
    <t xml:space="preserve">CNN 
They asses the effect of training st size by using different cumulitive datasets (CDs) (CD 1 &lt; CD 2 &lt; … &lt; CD 8) </t>
  </si>
  <si>
    <t>Balanced Accuracy,  Logloss Macro and Micro F1</t>
  </si>
  <si>
    <t>Table 5, Fig. 11 and 12</t>
  </si>
  <si>
    <t xml:space="preserve">Y
</t>
  </si>
  <si>
    <t>https://cloud.ilabt.imec.be/index.php/s/2zkXxEDTTQgkN5y</t>
  </si>
  <si>
    <t>5 F, 13 M, 22-45 yo</t>
  </si>
  <si>
    <t xml:space="preserve">Free-living
</t>
  </si>
  <si>
    <t>computer table, walking, running, cycling, standing still</t>
  </si>
  <si>
    <t>A knowledge-light approach to personalised and open-ended human activity recognition</t>
  </si>
  <si>
    <t>Anjana Wijekoon</t>
  </si>
  <si>
    <t>https://doi.org/10.1016/j.knosys.2020.105651</t>
  </si>
  <si>
    <t>SC (SelfBack)</t>
  </si>
  <si>
    <t>https://archive.ics.uci.edu/dataset/521/selfback</t>
  </si>
  <si>
    <t xml:space="preserve">walking downstairs, walking fast, walking moderate pace, walking slow, walking upstiars, standing, jogging, sitting, lying </t>
  </si>
  <si>
    <t>Matching Network</t>
  </si>
  <si>
    <t>See Sec. 5.2</t>
  </si>
  <si>
    <t>SS. 66/34</t>
  </si>
  <si>
    <t>Data Methodology (e.g., sensor location or device modality)</t>
  </si>
  <si>
    <t>Smartwatch activity recognition feature comparison using ML.net</t>
  </si>
  <si>
    <t>Alexandru Alexan</t>
  </si>
  <si>
    <t>https://doi.org/10.1109/AQTR55203.2022.9801919</t>
  </si>
  <si>
    <t>LG W100 Smartwatch</t>
  </si>
  <si>
    <t>Eating Soup (H), Eating Chips (I), Eating Pasta (J), Eating Sandwich (L), Drinking from Cup (K), Standing (E), Sitting (D), Walking (A), Jogging (B), Stairs (C), Typing (F), Brushing Teeth (G), Kicking (Soccer Ball) (M), Playing Catch w/Tennis Ball (O), Dribbling (Basketball) (P), Writing (Q), Clapping (R), Folding Clothes (S)</t>
  </si>
  <si>
    <t xml:space="preserve">FastForestOva, FastTreeOva, LbfgsLogisticRegressionOva, LbfgsMaximumEntropyMulti, LightGbmMulti, SdcaLogisticRegressionOva, SdcaMaximumEntropyMulti 
They evaluated 52 models in total because of different feature sets. </t>
  </si>
  <si>
    <t>ML.net</t>
  </si>
  <si>
    <t>"b) Binned distribution feature: contains 30 fields generated by using 10 bins for each axis. For each bin, the fraction of all values is used. c) Average feature: contains 3 fields, one for each axes, and represents the average sensor value for that chunk of data and axis. d) Time between peaks feature: contains 3 fields that indicate the time difference between the sinusoidal waves peaks. e) Average Absolute Difference feature: contains 3 fields for the average absolute difference of the chunk values and the mean value of these. f) Standard deviation feature: contains 3 fields indicating the standard deviation per axis. g) Variance feature: contains 3 fields indicating the variance per axis. h) MFCC feature: contains 39 fields indicating the Melfrequency cepstral coefficients. There are 13 fields per axis. i) Cosine distance feature: contains 3 fields indicating the cosine distances for the sensor values. j) Correlation feature: contains 3 fields indicating the correlations for the sensor values. k) Average resultant acceleration feature: contains 1 field indicating the average of the square root for the sum of squares for each axis value."</t>
  </si>
  <si>
    <t xml:space="preserve">Table I, III, and IV </t>
  </si>
  <si>
    <t>Estimating Energy Expenditure Using Body-Worn Accelerometers: A Comparison of Methods, Sensors Number and Positioning</t>
  </si>
  <si>
    <t>Marco Altini</t>
  </si>
  <si>
    <t>https://doi.org/10.1109/JBHI.2014.2313039</t>
  </si>
  <si>
    <t>ADXL330</t>
  </si>
  <si>
    <t>11 M, 4 F,  mean age 29.8 (5.2) yo, mean weight 71.8 (15.9) kg, mean height 1.75 (0.10) cm, mean BMI 23.2 (3.0) kg/m2.</t>
  </si>
  <si>
    <t>sedentary (lying, sitting, standing) and active (whole body motions, walking, hiking, running)</t>
  </si>
  <si>
    <t>Lying (lying down resting), sitting (sitting resting, desk work, reading, writing, working on a PC, watching TV), and standing (standing resting, standing cooking) postures in our sedentary clusters. Active clusters were four, one representative of household activities, namely the high whole body motion (HWBM) cluster (stacking groceries, washing dishes, folding clothes, cleaning and scrubbing, washing windows, sweeping, vacuuming) and three representatives of locomotion and active transportation, such as walking, (self-paced, self-paced carrying books, treadmill flat: 3, 4, 5, 6 km/h, incline: 3, 5km/h, 5, 10%), biking (cycle ergometer, low, medium, and high resistance level at 60 and 80 r/min), and running (7, 8, 9, 10 km/h on a treadmill)</t>
  </si>
  <si>
    <t>SVM (with kernel degree 5, lambda = 10, C = 1)</t>
  </si>
  <si>
    <t>"mean of the absolute BP signal, interquartile range, mean distance between axes, median, variance, standard deviation, zero crossing rate, main frequency peak, low and high-frequency band signal power"</t>
  </si>
  <si>
    <t>Human Activity Recognition: A Comparative Study to Assess the Contribution Level of Accelerometer, ECG, and PPG Signals</t>
  </si>
  <si>
    <t>Mahsa Sadat Afzali Arani</t>
  </si>
  <si>
    <t>https://doi.org/10.3390/s21216997</t>
  </si>
  <si>
    <t>21-55 yo, the data also includes "age, height, weight, fitness level, gender and skin type."</t>
  </si>
  <si>
    <t>5 (from 9)</t>
  </si>
  <si>
    <t>Sitting, ascending/descending stairs, playing table soccer, outdoor cycling, and walking</t>
  </si>
  <si>
    <t xml:space="preserve">Sitting: Sitting while reading 
Ascending/descending stairs: Climbing six floors up and going down, repeated two times 
Play table soccer: Playing table soccer, 1 vs. 1 
Cycling: Cycling 2 km outdoors cycling with gravel and paved road condition 
Walking: Walking back from the canteen to the office, with some detour </t>
  </si>
  <si>
    <t>trees = 300, 25 is max depth. Scikit learn</t>
  </si>
  <si>
    <t>See Table 2 and 3</t>
  </si>
  <si>
    <t>10-fold CV (within subject classififciation) and LOSO CV</t>
  </si>
  <si>
    <t>AUC, F1</t>
  </si>
  <si>
    <t>Fig. 5 and 7</t>
  </si>
  <si>
    <t>Sensor Placement for Activity Detection Using Wearable Accelerometers</t>
  </si>
  <si>
    <t>Louis Atallah</t>
  </si>
  <si>
    <t>https://doi.org/10.1109/BSN.2010.23</t>
  </si>
  <si>
    <t>9 M, 2 F</t>
  </si>
  <si>
    <t>very low level, low level, medium level, high level, transitional</t>
  </si>
  <si>
    <t>KNN, bayesian + gaussian</t>
  </si>
  <si>
    <t>See Table III</t>
  </si>
  <si>
    <t>Precision, Recall</t>
  </si>
  <si>
    <t>Fig. 4</t>
  </si>
  <si>
    <t>Sensor positioning for activity recognition using wearable accelerometers</t>
  </si>
  <si>
    <t>10.1109/TBCAS.2011.2160540</t>
  </si>
  <si>
    <t>ADCL 330</t>
  </si>
  <si>
    <t>KNN</t>
  </si>
  <si>
    <t>Fig. 5 and 6</t>
  </si>
  <si>
    <t>WEAR: An Outdoor Sports Dataset for Wearable and Egocentric Activity Recognition</t>
  </si>
  <si>
    <t>10.1145/3699776</t>
  </si>
  <si>
    <t>SC (WEAR)</t>
  </si>
  <si>
    <t>https://mariusbock.github.io/wear/</t>
  </si>
  <si>
    <t>Bangle.js</t>
  </si>
  <si>
    <t>13 M / 9 F. "Mean age of 27.59 years (standard deviation (SD): 4.69), a mean height of 175.2 cm (SD:
9.83), and a mean weight of 69.74 kg (SD: 11.23)."</t>
  </si>
  <si>
    <t>Y. (90 s/activity)</t>
  </si>
  <si>
    <t>18 (+ null) split into three "catagories" of activities</t>
  </si>
  <si>
    <t>jogging: normal, rotating arms, skipping, sidesteps, butt-kicks. Stretching: triceps, lunging, shoulders, hamstrings, lumbar rotation. Strength: push-ups, push-ups (complex), sit-ups, sit-ups (complex), burpees, lunges, lunges (complex), bench-dips</t>
  </si>
  <si>
    <t xml:space="preserve">ConvLSTM and TriDet </t>
  </si>
  <si>
    <t>F1, mAP</t>
  </si>
  <si>
    <t>https://github.com/mariusbock/wear</t>
  </si>
  <si>
    <t>Optimal Placement of Accelerometers for the Detection of Everyday Activities</t>
  </si>
  <si>
    <t>Ian Cleland</t>
  </si>
  <si>
    <t>https://doi.org/10.3390/s130709183</t>
  </si>
  <si>
    <t>24-33 yo, mean age 26.25 (2.86). All male participants</t>
  </si>
  <si>
    <t>walking, jogging on a motorized treadmill, sitting, lying, standing and walking up and down stairs</t>
  </si>
  <si>
    <t>J48 (decision tree), NB, NN (MLP), and SVM</t>
  </si>
  <si>
    <t>Accuracy,  Weighted F1</t>
  </si>
  <si>
    <t>Table 4 and 5</t>
  </si>
  <si>
    <t>Assessing the impact of body location on the accuracy of detecting daily activities with accelerometer data</t>
  </si>
  <si>
    <t>Xiangnan Dang</t>
  </si>
  <si>
    <t>https://doi.org/10.1016/j.isci.2023.108626</t>
  </si>
  <si>
    <t>https://www.cell.com/iscience/fulltext/S2589-0042(23)02703-7?_returnURL=https%3A%2F%2Flinkinghub.elsevier.com%2Fretrieve%2Fpii%2FS2589004223027037%3Fshowall%3Dtrue</t>
  </si>
  <si>
    <t>24 F / 16 M. Average age is 42.4 (range from 21 to 68).</t>
  </si>
  <si>
    <t>Y. (50 s/ activity)</t>
  </si>
  <si>
    <t xml:space="preserve">Seated rest, Standing rest, Lying down, Lying down-scratch, Desk work, Focused typing, Talking on the phone while seated, Using phone (not talking, while seated), Conversation seated with natural hand movements, Sit to stand transitions, Folding clothes while standing, Packing/unpacking a box while standing, Walking on treadmill, Simulated stand to fall, Simulated walking to fall (trip), Washing hands, Brushing teeth, Doing hair, Ascending stairs, Descending stairs. </t>
  </si>
  <si>
    <t xml:space="preserve">Y (in supplemental material) </t>
  </si>
  <si>
    <t>LSTM + CNN</t>
  </si>
  <si>
    <t>5-fold CV (by participant)</t>
  </si>
  <si>
    <t>AUC</t>
  </si>
  <si>
    <t>The Effect of Sensor Placement and Number on Physical Activity Recognition and Energy Expenditure Estimation in Older Adults: Validation Study</t>
  </si>
  <si>
    <t>Anis Davoudi</t>
  </si>
  <si>
    <t>10.2196/23681</t>
  </si>
  <si>
    <t xml:space="preserve">May </t>
  </si>
  <si>
    <t>ActiGraph GT3X</t>
  </si>
  <si>
    <t>mean age 72.2 (7.1) yo (See Table 2).</t>
  </si>
  <si>
    <t>vacuuming, computer work, home maintence, washing windows, heavy lifting, replacing bed sheets, ironing, stretching/yoga, trash removal, mopping, sweeping, stair descent, stair ascent, yard work, standing still, preparing and serving a meal, washing dishes, straightening up/dusting, dressing, tv watching, strength exercise, lying, light gardening, shopping, personal care, diggling, unloading and storing dishes, laundry, leisure walk, rapid walk, walking @ 1rpe, walking @5rpe</t>
  </si>
  <si>
    <t>Regression RF</t>
  </si>
  <si>
    <t>6-fold nested CV</t>
  </si>
  <si>
    <t>Balanced Accuracy</t>
  </si>
  <si>
    <t>Fig. 3-6</t>
  </si>
  <si>
    <t>Y (Appendix)</t>
  </si>
  <si>
    <t>Free-living Ambulatory Activity Classification: A Comparative Analysis of Wrist-worn, Insole-embedded, and Phone-embedded Sensors</t>
  </si>
  <si>
    <t>Ton T. H. Duong</t>
  </si>
  <si>
    <t>https://doi.org/10.1109/BioRob52689.2022.9925432</t>
  </si>
  <si>
    <t>Actigraph GT9X Link</t>
  </si>
  <si>
    <t>"healthy", age: 24.6 (3.9) yo, height: 174.4 (5.4) cm, weight: 69.1 (8.2) kg, 8 M, 8 participants with right dominant leg</t>
  </si>
  <si>
    <t>Kernel-based (RBF) SVM</t>
  </si>
  <si>
    <t>"For the wrist-worn sensor, only the magnitude of the 3D acceleration and angular velocity vectors were selected as inputs to the sliding window procedure. For the smartphoneembedded IMU, we used the magnitude of the 3D angular velocity vector and the magnitudes of the projections of the 3D acceleration vector onto the X-Z plane and on the Y axis. Subsequently, we extracted the following time-domain and frequency domain features: 1) Time-domain features: The Mean, maximum (Max), and minimum (Min) values were extracted from each signal, for each data window. We also calculated the variance (Var) of the signal within each data window. 2) Frequency-domain features: The Fast Fourier Transform (FFT) was performed on each data window, from which the dominant frequency (DomFreq) and the spectral power (SpecPow) were determined. Furthermore, we computed the spectral entropy (SpecEnt) as the Shannon entropy of the normalized power distribution in the frequency domain [29]." (Sec IV)</t>
  </si>
  <si>
    <t>Accuracy, Precision, Recall, WF1</t>
  </si>
  <si>
    <t>Evaluating sensor placement and modality for activity recognition in active games</t>
  </si>
  <si>
    <t>Natalie Jablonsky</t>
  </si>
  <si>
    <t>https://doi.org/10.1145/3014812.3014875</t>
  </si>
  <si>
    <t>LG Nexus 4</t>
  </si>
  <si>
    <t>1 M, 1 F, 21 and 22 yo</t>
  </si>
  <si>
    <t>"walking for 120 seconds, running for 100 seconds, jumping for 80 seconds, hopping for 45 seconds and throwing for 130 seconds"</t>
  </si>
  <si>
    <t>J48 (C4.5 DT)</t>
  </si>
  <si>
    <t>"The features used were those reported by Kwapisz [15], being: per-channel arithmetic mean, standard deviation, minimum and maximum, as well as the RMS magnitude for each sensor and the binned histogram. "</t>
  </si>
  <si>
    <t>Analyzing Body Movements within the Laban Effort Framework Using a Single Accelerometer</t>
  </si>
  <si>
    <t>Basel Kikhia</t>
  </si>
  <si>
    <t>https://doi.org/10.3390/s140305725</t>
  </si>
  <si>
    <t>6 (from 23)</t>
  </si>
  <si>
    <t>sudden, sustained, strong, light, free, bound</t>
  </si>
  <si>
    <t>NB, C4.5 DT, Logistic Regression, SVM, KNN, RF, Boosting, Bagging</t>
  </si>
  <si>
    <t>Table 4-9</t>
  </si>
  <si>
    <t>Activity recognition using a single accelerometer placed at the wrist or ankle</t>
  </si>
  <si>
    <t>10.1249/MSS.0b013e31829736d6</t>
  </si>
  <si>
    <t>SC (Mannini)</t>
  </si>
  <si>
    <t>33 (from 42)</t>
  </si>
  <si>
    <t>"adults" (11 M, 22 W, 18–75 yo, height = 168.5 ± 9.3 cm [range 149–189], weight = 70.0 ± 15.6 kg [range 48–114])</t>
  </si>
  <si>
    <t>4 (from 26)</t>
  </si>
  <si>
    <t>sedentary (lying, sitting, Internet search, reading, typing, writing, sorting files on paperwork, and standing still), cycling (indoor and outdoor), ambulation (natural walking, treadmill walking, carrying a box, and stairs up/down), and other activities (sweeping with broom and painting with roller or brush)</t>
  </si>
  <si>
    <t>Yes</t>
  </si>
  <si>
    <t>See Sec. Data preprocessing and features evaluation</t>
  </si>
  <si>
    <t>Accuracy and F1</t>
  </si>
  <si>
    <t>Table 1, Table 2, Fig. 1, Table 5</t>
  </si>
  <si>
    <t>https://www.mhealthgroup.org/datasets.html</t>
  </si>
  <si>
    <t>Placement Effect of Motion Sensors for Human Activity Recognition using LSTM Network</t>
  </si>
  <si>
    <t>https://doi.org/10.1109/ECTIDAMTNCON51128.2021.9425719</t>
  </si>
  <si>
    <t>Colbri IMU</t>
  </si>
  <si>
    <t>27.2 (3.3) yo, 1 W, 8 M, average body mass index (BMI) of 25.1 ± 2.6 kg/m2</t>
  </si>
  <si>
    <t>inactive, active, walking, driving</t>
  </si>
  <si>
    <t>ConvLSTM</t>
  </si>
  <si>
    <t>Python 3.6.9, Scikit-Learn libraries, Pandas 1.0.5 libraries, TensorFlow 2.2.0 libraries, Numpy 1.18.5 libraries, and Keras 2.3.1 libraries</t>
  </si>
  <si>
    <t>Accuracy, F1 , Precision, Recall</t>
  </si>
  <si>
    <t xml:space="preserve">N
</t>
  </si>
  <si>
    <t>Evaluation of Smartphone and Smartwatch Accelerometer Data in Activity Classification</t>
  </si>
  <si>
    <t>Nguyen Canh Minh</t>
  </si>
  <si>
    <t>https://doi.org/10.1109/NICS54270.2021.9701528</t>
  </si>
  <si>
    <t xml:space="preserve">LG G watch (with Android wear 1.5 OS) </t>
  </si>
  <si>
    <t>walking (A), jogging (B), stairs (C), sitting (D) and standing €</t>
  </si>
  <si>
    <t>GBDT (gradient boosted decision tree), SVM, RF, and KNN. 
Model 1 = 4 acts (no stairs), model 2 = all acts</t>
  </si>
  <si>
    <t>"In this research, five features (mean, median, standard
deviation, root mean square, and range) would be extracted of
3-axis acceleration X, Y, and Z on each data. "</t>
  </si>
  <si>
    <t xml:space="preserve">Accuracy, Sensititvity, Specificity </t>
  </si>
  <si>
    <t xml:space="preserve">Fig. 3, 6 and Table 5, 6
</t>
  </si>
  <si>
    <t>Analysis of Optimal Sensor Positions for Activity Classification and Application on a Different Data Collection Scenario</t>
  </si>
  <si>
    <t>Natthapon Pannurat</t>
  </si>
  <si>
    <t>https://doi.org/10.3390/s17040774</t>
  </si>
  <si>
    <t>e-Ar sensor (Nordic nRF24LU1P
processor with an IEEE 802.15.4 (2.4 GHz))</t>
  </si>
  <si>
    <t>6 M, 6F, 23-45 yo</t>
  </si>
  <si>
    <t xml:space="preserve"> (a) sitting on a chair, (b) supine, (c) lying on the left side, (d) prone, (e) lying on the right side, (f) stand, (g) walking</t>
  </si>
  <si>
    <t xml:space="preserve">Bayesian network, NB, J48 DT, C4.5 DT, KNN, MLP, SVM </t>
  </si>
  <si>
    <t>6-fold CV</t>
  </si>
  <si>
    <t>Table 3 and 5</t>
  </si>
  <si>
    <t>The Physical Activity Assessment Using Wearable Sensors (PAAWS) Dataset: Labeled Laboratory and Free-living Accelerometer Data</t>
  </si>
  <si>
    <t xml:space="preserve">Veronika Potter </t>
  </si>
  <si>
    <t>10.1145/3770639</t>
  </si>
  <si>
    <t xml:space="preserve">SC (PAAWS) </t>
  </si>
  <si>
    <t>https://repository.library.northeastern.edu/collections/neu:cn69m462g</t>
  </si>
  <si>
    <t>ActiGraph GT9X+</t>
  </si>
  <si>
    <t>252 (some participants were excluded due to missing data)</t>
  </si>
  <si>
    <t>"16 were ages 18-34 (12 in FL), 62 were ages 35-54 (one in FL), 74 were
ages 55+ (seven in FL), and 115 identified as female (nine in FL)." See Sec 3.3 in their paper.</t>
  </si>
  <si>
    <t>Semi- or highly-supervised and free-living (1 week protocol)</t>
  </si>
  <si>
    <t>Variable. Range from 5 to 42</t>
  </si>
  <si>
    <t xml:space="preserve">Variable. Sec 4.2 and Table 11 </t>
  </si>
  <si>
    <t xml:space="preserve">Table 11 explains mapping, missing iN/Ao on how the raw data were collected. </t>
  </si>
  <si>
    <t>sklearn v1.02</t>
  </si>
  <si>
    <t>Sec A.2</t>
  </si>
  <si>
    <t>Weighted and Macro F1</t>
  </si>
  <si>
    <t>Tables 5-7</t>
  </si>
  <si>
    <t>Y* (lab to FL within a single dataset)</t>
  </si>
  <si>
    <t>https://github.com/mHealth-Research-Group/paaws-benchmarking</t>
  </si>
  <si>
    <t>Robust Human Activity Recognition using smartwatches and smartphones</t>
  </si>
  <si>
    <t xml:space="preserve">Rubén San-Segundo </t>
  </si>
  <si>
    <t>https://doi.org/10.1016/j.engappai.2018.04.002</t>
  </si>
  <si>
    <t>Sitting’, ‘Standing’, ‘Biking’, ‘Walking’, ‘Going up stairs’ and ‘Going down stairs’</t>
  </si>
  <si>
    <t>RF, HMMs, CNN-MLP, CNN-LSTM</t>
  </si>
  <si>
    <t>WEKA (RF) and keras (DL)</t>
  </si>
  <si>
    <t>"the three original accelerometer signals, the magnitude of acceleration computed from them, three derived jerk signals (the derivative of acceleration with respect to time), and the magnitude computed from them. In the frequency domain, the signals are the Fast Fourier Transforms (FFTs) of the time domain signals.""</t>
  </si>
  <si>
    <t>Table 6 and 8</t>
  </si>
  <si>
    <t>Are Gyroscopes an Added Value in Leave-One-Subject-Out Activity Recognition with IMUs?</t>
  </si>
  <si>
    <t>Meng Shang</t>
  </si>
  <si>
    <t>https://doi.org/10.1109/EMBC48229.2022.9871845</t>
  </si>
  <si>
    <t>3 (classes made from 18 acts)</t>
  </si>
  <si>
    <t>non-hand orientted, hand oriented (eating), hand oriented (general)</t>
  </si>
  <si>
    <t>• Non-hand-oriented: walking, jogging, stairs, standing, kicking (soccer Ball)
• Hand-oriented (Eating): eating soup, eating chips, eating pasta, drinking from cup, eating sandwich
• Hand-oriented (General): typing, brushing teeth, playing catch, tennis ball, dribbling basketball, writing, clapping, folding clothes</t>
  </si>
  <si>
    <t>MLP, SVM (with rbf), KNN, DT</t>
  </si>
  <si>
    <t>"• Time-domain: Interquartile range, Max, Mean, Median, Min, Root mean square, Skewness, Standard deviation, variance, Absolute energy, Autocorrelation, Centroid Entropy, Zero crossing rate, Kurtosis, Histogram • Frequency-domain: Fundamental frequency, Max power spectrum, Maximum frequency, Median frequency, Spectral entropy, Spectral kurtosis, Spectral skewness"</t>
  </si>
  <si>
    <t>F1 and Weighted F1</t>
  </si>
  <si>
    <t>Complex Human Activity Recognition Using Smartphone and Wrist-Worn Motion Sensors</t>
  </si>
  <si>
    <t>Muhammad Shoaib</t>
  </si>
  <si>
    <t>10.3390/s16040426</t>
  </si>
  <si>
    <t xml:space="preserve">March </t>
  </si>
  <si>
    <t>Link: http://ps.ewi.utwente.nl/Datasets.php. NOTE: the link is broken.</t>
  </si>
  <si>
    <t>Samsung Galaxy S2</t>
  </si>
  <si>
    <t>all male, "healthy", 23-35 yo</t>
  </si>
  <si>
    <t>all participants: walking, jogging, biking, walking upstairs, walking downstairs, sitting, standing. optional: eating, typing, writing, drinking cofee, giving a talk, and smoking.</t>
  </si>
  <si>
    <t>See Sec. 3</t>
  </si>
  <si>
    <t>NB, KNN, DT</t>
  </si>
  <si>
    <t xml:space="preserve">scikit .17, Python </t>
  </si>
  <si>
    <t>"In the pre-processing phase, we extracted two time-domain features for these sensors: mean and standard deviation. We selected these two features because they have low complexity and have been shown to provide reasonable recognition accuracy for various activities [12,30]. Moreover, we did not want to use a more complex feature set blindly before evaluating a viable simple one. These features were extracted over a window of 2, 5, 10, 15, 20, 25 and 30 s with no overlap. The orientation of motion sensors can affect the recognition performance of various activities [31]. To counter such effects, we use the magnitude of these sensors as an extra dimension besides the x, y and z axes. This method has shown to be effective in other studies [31–33]. Then, the mean and standard deviation are extracted for all four dimensions of each sensor. For some specific optimizations, as discussed in Section 4.4, we also extracted five additional features: minimum, maximum, semi-quartile, median and the sum of the first ten FFT (Fast Fourier Transform) coefficients. We selected these features based on the literature study [30] and on the manual analysis of our raw data. As discussed in Section 4.4, these features provide additional iN/Aormation about various activities and are suitable for running on mobile phones because of their low complexities [30]."</t>
  </si>
  <si>
    <t>Variable. 2, 5, 10, 15, 20, 25, 30</t>
  </si>
  <si>
    <t>F-measure</t>
  </si>
  <si>
    <t>Fig. 4A (not aggregate)</t>
  </si>
  <si>
    <t>Posture and Physical Activity Detection: Impact of Number of Sensors and Feature Type</t>
  </si>
  <si>
    <t>Qu Tang</t>
  </si>
  <si>
    <t>10.1249/MSS.0000000000002306</t>
  </si>
  <si>
    <t>Link: https://www.mhealthgroup.org/datasets.html. NOTE: link is broken</t>
  </si>
  <si>
    <t>ActiGraph GT9X</t>
  </si>
  <si>
    <t>42 (they collected from 50 but excluded some data)</t>
  </si>
  <si>
    <t>27 M, 15 F. 23.4 (2.7) yo, BMI index: 24.2 (4.2) kg·m−2</t>
  </si>
  <si>
    <t>Lie-back, rec-talk, rec-phone, sit-talk, sit-write, sit-still, sit-type, cycle-erg, stand-fold, stand-type, stand-shelf, stand-sweep, free-stand, stand-write, run-5.5%5, walk-1mph, walk-2mph, walk-3/3.5mph, walk-phone, walk-bag, walk-drink, walk-talk</t>
  </si>
  <si>
    <t xml:space="preserve">See Sec. Motion and Orientation Feature Extraction and Table 2. </t>
  </si>
  <si>
    <t xml:space="preserve">F1 </t>
  </si>
  <si>
    <t>Fig. 1B, Table 4</t>
  </si>
  <si>
    <t>N* (not for wrist, but they do have it for other sensors)</t>
  </si>
  <si>
    <t>https://github.com/qutang/tang_msse_2020</t>
  </si>
  <si>
    <t xml:space="preserve">NOTE: code link is broken. So this depends on if the info is actually available. </t>
  </si>
  <si>
    <t>Machine learning for activity recognition: hip versus wrist data</t>
  </si>
  <si>
    <t>Stewart G Trost</t>
  </si>
  <si>
    <t>10.1088/0967-3334/35/11/2183</t>
  </si>
  <si>
    <t xml:space="preserve">October </t>
  </si>
  <si>
    <t>28 B, 24 G. See Table 1</t>
  </si>
  <si>
    <t>7 (from 12)</t>
  </si>
  <si>
    <t>lying, sitting, stand +, walk, run, basketball (BB), dance</t>
  </si>
  <si>
    <t>logisic regression</t>
  </si>
  <si>
    <t>R (Glmnet + L1)</t>
  </si>
  <si>
    <t>"mean, standard deviation, coefficient of variation, percentiles (10th, 25th, 50th, 75th,90th), lag one autocorrelation, skewness, kurtosis, signal power, log energy, peak intensity, zero crossings, and cross-axis correlation."</t>
  </si>
  <si>
    <t>10 fold CV (with 6 splits per fold?). Unclear description.</t>
  </si>
  <si>
    <t>Sec. 3</t>
  </si>
  <si>
    <t>Y* (link is broken)</t>
  </si>
  <si>
    <t>https://web.engr.oregonstate.edu/~wongwe/research.html</t>
  </si>
  <si>
    <t>Smartwatch-based activity recognition: A machine learning approach</t>
  </si>
  <si>
    <t>Gary M. Weiss</t>
  </si>
  <si>
    <t>https://doi.org/10.1109/BHI.2016.7455925</t>
  </si>
  <si>
    <t>SC? (Seems to be WISDM, not credited)</t>
  </si>
  <si>
    <t>LG G watch</t>
  </si>
  <si>
    <t>general activities (not-hand oriented): walking, jogging, climbing stairs, sitting, standing, kicking soccer ball
general activities (hand-oriented): dribbling basketball, playing catch with tennis ball (two people), typing, handwriting, clappiing, brushing teeth, folding clothes
eating activities (hand-oriented): eating pasta, soup, sandwich, chips, drinking from a cup</t>
  </si>
  <si>
    <t>RF, NB, MLP, DT, IB3</t>
  </si>
  <si>
    <t>10-fold CV (personal models),  LOSO CV (impersonal models)</t>
  </si>
  <si>
    <t>Physical activity classification using the GENEA wrist-worn accelerometer</t>
  </si>
  <si>
    <t>Shaoyan Zhang</t>
  </si>
  <si>
    <t>10.1249/MSS.0b013e31823bf95c</t>
  </si>
  <si>
    <t>GENEA</t>
  </si>
  <si>
    <t>23 M: 48.9 (6.8) yo,  BMI: 25.9 (2.7) kgImj2. 37 F: 49.6 (6.4) yo, BMI = 23.8 (3.5) kgImj2</t>
  </si>
  <si>
    <t>4 (from 16. Each participant performed between 10-12 activities.)</t>
  </si>
  <si>
    <t>sedentarty, household, walking, running</t>
  </si>
  <si>
    <t>DT, HMM, NN, and SVM</t>
  </si>
  <si>
    <t>Weka</t>
  </si>
  <si>
    <t xml:space="preserve">See Sec. Signal Processing and Feature Extraction </t>
  </si>
  <si>
    <t>F1, TP, FP, Recall, Precision, ROC</t>
  </si>
  <si>
    <t>Fig. 2, Table 1, 2, 4</t>
  </si>
  <si>
    <t>Generalized HAR</t>
  </si>
  <si>
    <t>IMU2Doppler: Cross-Modal Domain Adaptation for Doppler-based Activity Recognition Using IMU Data</t>
  </si>
  <si>
    <t>Sejal Bhalla</t>
  </si>
  <si>
    <t>https://doi.org/10.1145/3494994</t>
  </si>
  <si>
    <t>10 (from 18)</t>
  </si>
  <si>
    <t>Catching, Clapping. Dribbling, drinking, folding clothes, jogging, eating pasta, eating soup, brushing teeth, walking</t>
  </si>
  <si>
    <t>CNN, LSTM, Bi-LSTM</t>
  </si>
  <si>
    <t>5-fold CV (10 participants in a fold)</t>
  </si>
  <si>
    <t>Transfer Learning in Body Sensor Networks Using Ensembles of Randomized Trees</t>
  </si>
  <si>
    <t>Pierluigi Casale</t>
  </si>
  <si>
    <t>https://doi.org/10.1109/JIOT.2015.2389335</t>
  </si>
  <si>
    <t xml:space="preserve">Feb </t>
  </si>
  <si>
    <t>7 (from 13)</t>
  </si>
  <si>
    <t>walking, standing, running, cycling, household activities, sitting, and lying</t>
  </si>
  <si>
    <t>NCC, KNN,  SVM, radomized trees: Bagging, RF, Rot (rotation forest)</t>
  </si>
  <si>
    <t>N/A (12 dimension vector)</t>
  </si>
  <si>
    <t xml:space="preserve">k-fold CV for K = {20, 10, 5, 3, 2} </t>
  </si>
  <si>
    <t xml:space="preserve">Fig. 2, 3, 4, 5
</t>
  </si>
  <si>
    <t>NOTE: Oulu may be replicable because they mention the segmentation protocol for that dataset.</t>
  </si>
  <si>
    <t>IMEC</t>
  </si>
  <si>
    <t>Can't find.</t>
  </si>
  <si>
    <t>household activities, resting, sitting, sport, and walking</t>
  </si>
  <si>
    <t>"mean, standard deviation, skewness and kurtosis for each acceleration axis and magnitude, correlations between each pairwise axis combination, entropy, signal spectral amplitude, power, and frequency."</t>
  </si>
  <si>
    <t>Oulu</t>
  </si>
  <si>
    <t>6 (from 17)</t>
  </si>
  <si>
    <t>walking, standing, running, cycling, manual activities, and low-level activity</t>
  </si>
  <si>
    <t>"mean and standard deviation."</t>
  </si>
  <si>
    <t>Semi-supervised Multi-source Domain Adaptation in Wearable Activity Recognition</t>
  </si>
  <si>
    <t>Avijoy Chakma</t>
  </si>
  <si>
    <t>https://doi.org/10.1109/DCOSS54816.2022.00017</t>
  </si>
  <si>
    <t>DSADS</t>
  </si>
  <si>
    <t>Standing, Lying-back, Ascending, Walking-parking-lot, Treadmill-running, Stepper-exercise, Cross-trainer-exercise, Rowing, Jumping, Playing-basketball</t>
  </si>
  <si>
    <t>RevGrand (novel), MADA, MSADA, and SS-MSADA</t>
  </si>
  <si>
    <t>PyTorch + sklearn for metrics</t>
  </si>
  <si>
    <t>Micro F1</t>
  </si>
  <si>
    <t>Standing, Walking, Sitting, Lying</t>
  </si>
  <si>
    <t>Lying, Sitting, Standing, Walking, Running, Cycling, Ascending, Descending, Vacuum, Ironing, Rope jumping</t>
  </si>
  <si>
    <t>A Systematic Study of Unsupervised Domain Adaptation for Robust Human-Activity Recognition</t>
  </si>
  <si>
    <t>Youngjae Chang</t>
  </si>
  <si>
    <t>https://doi.org/10.1145/3380985</t>
  </si>
  <si>
    <t>null, standing, walking, sitting, and lying</t>
  </si>
  <si>
    <t>Macro F1</t>
  </si>
  <si>
    <t>climbing stairs down and up, jumping, lying, standing, sitting, running/jogging, and walking</t>
  </si>
  <si>
    <t>collected at 50-200 (downsampled to 50)</t>
  </si>
  <si>
    <t>bike, sit, stairsdown, stairsup, stand, and walk</t>
  </si>
  <si>
    <t>Identifying Free-Living Physical Activities Using Lab-Based Models with Wearable Accelerometers</t>
  </si>
  <si>
    <t>Arindam Dutta</t>
  </si>
  <si>
    <t>https://doi.org/10.3390/s18113893</t>
  </si>
  <si>
    <t>GENEActiv accelerometer</t>
  </si>
  <si>
    <t>48% M, age 18–64 yo</t>
  </si>
  <si>
    <t>24 (classed into 21 acts for GMM or 17 for HMM)</t>
  </si>
  <si>
    <t xml:space="preserve">Seated, folding/stacking laundry; stadning/fidgeting with hands while talking; 1 minute brushing teeth + 1 minute brushing har; drivign a car; tradmill at 1 mph; treadmill at 2 mph; treadmill at 3 mph; treadmill at 3 mph, 5% grade; treadmill at 4 mph, hard surface walking, hard surface, while carrying 8 lb object; hard surface holding filled coffee cup; caprtet with high heels or dress shoes; grass barefoot; uneven fte; uphill with highheels or dress shoes, 5% grade; downhill with high heels or dress shoes, 5% grade; tradmill at 5mph; treadmill at 6mph; treadmill at 6mph, 5% grade; walking upstairs (5 floors); walking down stairs (5 floors)
</t>
  </si>
  <si>
    <t xml:space="preserve">GMM and HMM </t>
  </si>
  <si>
    <t>See Supplemental Table 1</t>
  </si>
  <si>
    <t xml:space="preserve">SS. 40/122 (by participant) </t>
  </si>
  <si>
    <t xml:space="preserve">Y* (the authors evaluated their model on FL data but only had ground truth for "lying" (sleeping) in FL) </t>
  </si>
  <si>
    <t>Investigation of Heterogeneity Sources for Occupational Task Recognition via Transfer Learning</t>
  </si>
  <si>
    <t>Sahand Hajifar</t>
  </si>
  <si>
    <t>https://doi.org/10.3390/s21196677</t>
  </si>
  <si>
    <t xml:space="preserve">Empatica E4 and Maxim wristband </t>
  </si>
  <si>
    <t xml:space="preserve">18 participants across the two data collection protocols (2 participants are in both protocols) </t>
  </si>
  <si>
    <t>EP: electrical panel, H: hoisting, Ld: ladder, Lf: lifting; OH: overhead; P: pushing; St: sitting; Sd: standing; Tp: typing; W: walking</t>
  </si>
  <si>
    <t>Accuracy,  F1, Rank of domain</t>
  </si>
  <si>
    <t>Table 3, 4, 6</t>
  </si>
  <si>
    <t>Y* (evaluated within a dataset with two different collection protocols)</t>
  </si>
  <si>
    <t>https://github.com/sahand-hajifar/Occupational-Task-Recognition-via-Domain-Adaptation</t>
  </si>
  <si>
    <t>y</t>
  </si>
  <si>
    <t>Activity classification using unsupervised domain transfer from body worn sensors</t>
  </si>
  <si>
    <t>Chaitra Hegde</t>
  </si>
  <si>
    <t>https://doi.org/10.1016/j.smhl.2023.100431</t>
  </si>
  <si>
    <t>standing still, sitting, lying down, walking, and others</t>
  </si>
  <si>
    <t>Conv-LSTM (CNN with LSTM)</t>
  </si>
  <si>
    <t xml:space="preserve">SS. 30/50/20 </t>
  </si>
  <si>
    <t>Accuracy, F1, Pecision, Recall</t>
  </si>
  <si>
    <t>Digging deeper: towards a better understanding of transfer learning forhuman activity recognition</t>
  </si>
  <si>
    <t>Alexander Hoelzemann</t>
  </si>
  <si>
    <t>https://doi.org/10.1145/3410531.3414311</t>
  </si>
  <si>
    <t>null (0), lying (1), sitting (2), standing (3), walking (4), ascending stairs (12), descending stairs (13), vacuum cleaning (16) and ironing (17)</t>
  </si>
  <si>
    <t>4-fold CV</t>
  </si>
  <si>
    <t>ExerSense: Physical Exercise Recognition and Counting Algorithm from Wearables Robust to Positioning</t>
  </si>
  <si>
    <t>Shuh Ishii</t>
  </si>
  <si>
    <t>10.3390/s21010091</t>
  </si>
  <si>
    <t>"university students", 58-80 kg</t>
  </si>
  <si>
    <t>running, walking, jumpting, push-ups, sit-ups</t>
  </si>
  <si>
    <t>See Sec. 4.1.2</t>
  </si>
  <si>
    <t>Y (if you count the DTW)</t>
  </si>
  <si>
    <t>N/A (for SVM) .25 (for DTW)</t>
  </si>
  <si>
    <t>COA-HAR: Exploring contrastive online test-time adaptation for wearable sensor-based human activity recognition using sensor data augmentation</t>
  </si>
  <si>
    <t>Vitor Fortes Rey</t>
  </si>
  <si>
    <t>https://doi.org/10.1016/j.eswa.2025.129288</t>
  </si>
  <si>
    <t>climbing stairs, jumping, lying, standing, sitting, running/jogging, and walking</t>
  </si>
  <si>
    <t xml:space="preserve">COA-HAR, TENT, SAR, OFTTA (SSL learning algs) </t>
  </si>
  <si>
    <t>5, 10</t>
  </si>
  <si>
    <t>"group shuffle"</t>
  </si>
  <si>
    <t>Tables 3-10 (they compare w/ and w/o SSL using UK BioBank)</t>
  </si>
  <si>
    <t>8 (some removed from final analysis)</t>
  </si>
  <si>
    <t>12 (some were removed)</t>
  </si>
  <si>
    <t>Stand, Walk, Sit, Lie</t>
  </si>
  <si>
    <t>46 (5 removed from final analysis)</t>
  </si>
  <si>
    <t>Cross-Domain HAR: Few-Shot Transfer Learning for Human Activity Recognition</t>
  </si>
  <si>
    <t>Megha Thukral</t>
  </si>
  <si>
    <t>10.1145/3704921</t>
  </si>
  <si>
    <t>50 (downsampled from unknown collected at frequency)</t>
  </si>
  <si>
    <t>biking, sitting, going up and down the stairs, standing, and walking</t>
  </si>
  <si>
    <t>Student-Teacher FSL</t>
  </si>
  <si>
    <t>Pytorch</t>
  </si>
  <si>
    <t>Fig A7 (trained and evaluated on wrist data), anything that evaluates on HHAR is evalutation on WAO data</t>
  </si>
  <si>
    <t>N* (They provide links to many repos they use, but not code with their entire pipeline)</t>
  </si>
  <si>
    <t>Kernel fusion based extreme learning machine for cross-location activity recognition</t>
  </si>
  <si>
    <t>Zhelong Wang</t>
  </si>
  <si>
    <t>https://doi.org/10.1016/j.iN/Afus.2017.01.004</t>
  </si>
  <si>
    <t>Walking (3 km/h), Walking (5 km/h), Running (6 km/h), Running (12 km/h), Ascending stairs, Descending stairs, Bicycling, Rope jumping</t>
  </si>
  <si>
    <t>M-RKELM (novel mixed and reduced kernel extreme ML model) algorithm is compared with Huang’s kernel ELM [31], ELM and RKELM</t>
  </si>
  <si>
    <t>Table 10</t>
  </si>
  <si>
    <t>Self-supervised learning for human activity recognition using 700,000 person-days of wearable data</t>
  </si>
  <si>
    <t>Hang Yuan</t>
  </si>
  <si>
    <t>10.1038/s41746-024-01062-3</t>
  </si>
  <si>
    <t>UK Biobank</t>
  </si>
  <si>
    <t xml:space="preserve">110k + </t>
  </si>
  <si>
    <t>Variable</t>
  </si>
  <si>
    <t>RF and ResNet</t>
  </si>
  <si>
    <t>5-fold CV (with 8:2 or 7:2:1 in a fold)</t>
  </si>
  <si>
    <t>Accuracy, F1, Kappa</t>
  </si>
  <si>
    <t>Table 2 and 3, Fig. 2</t>
  </si>
  <si>
    <t>https://github.com/OxWearables/ssl-wearables?tab=readme-ov-file</t>
  </si>
  <si>
    <t>Y* (partially trained network)</t>
  </si>
  <si>
    <t>Online or RT HAR</t>
  </si>
  <si>
    <t>Activity classification for real-time wearable systems: Effect of window length, sampling frequency and number of features on classifier performance</t>
  </si>
  <si>
    <t>Ardo Allik</t>
  </si>
  <si>
    <t>https://doi.org/10.1109/IECBES.2016.7843493</t>
  </si>
  <si>
    <t>Shimmer3</t>
  </si>
  <si>
    <t>"Healthy", 21-57 yo, average age  32.0 (8.8) yo. 13 M: age 32.8 (10.0) yo 
(median 30.0 yo). 12 F: age 
31.0 (7.7) yo  (median 30.0 yo).
Only 5 M completed biking: ages 38.4 (5.3)  (median 37.0 yo)</t>
  </si>
  <si>
    <t>10 (from 24)</t>
  </si>
  <si>
    <t>Static, low intensity, moderate intensity, rythmical intensity, walking, running, indoor cycling, outdoor cycling, climbing stairs, declining stairs.</t>
  </si>
  <si>
    <t>1. Static: Lying, sitting, standing 
2. Low Intensity: Typing on computer 
3. Moderate Intensity: Folding clothes 
4. Rhythmical Intensity: Cleaning surface using a towel 
5. Walking:Walking in a corridor, walking on a treadmill 
6. Running: Running in a corridor, running on a treadmill 
7. Indoor Cycling: Cycling on a veloergometer 
8. Outdoor Cycling: Cycling outdoors on different terrains 
9. Climbing Stairs: Walking upstairs 
10. Declining Stairs: Walking downstairs</t>
  </si>
  <si>
    <t>MATLAB fitctree</t>
  </si>
  <si>
    <t>"Initially 110 features were used of which most were adopted from previous studies by other researchers. A total of 18 features were adopted from [7], 66 features from [8] and 24 features from [9]. " and "As a part of this study it was evaluated how decreasing the number of features based on correlation affects the classifier performance. For that, a large correlation matrix was formed which showed each feature’s correlation coefficient with all the other features. From the features pairs or groups that had a strong correlation (correlation coefficient larger than 0.9 or less than -0.9) only the simpler (in terms of complexity and computational requirements) features were kept. With this, a total of 67 features were removed from the initial list and a new subset of 43 features was formed. "</t>
  </si>
  <si>
    <t>1, 3, 5</t>
  </si>
  <si>
    <t>Fig. 1 + 2</t>
  </si>
  <si>
    <t>A Wearable Intelligent MEMS Accelerometer Based on MEMS Reservoir Computing Capable of In-Sensor Action Recognition</t>
  </si>
  <si>
    <t>Yunlong Bai</t>
  </si>
  <si>
    <t>10.1109/JSEN.2025.3638891</t>
  </si>
  <si>
    <t>Customs MEMs accelerometer</t>
  </si>
  <si>
    <t>Run, march, walk, twist, chest, wrist</t>
  </si>
  <si>
    <t>ambulation (walking/running), stationary marching, axial rotations (waist twisting), upper body extension (chest expansion), and distal limb movement (wrist activity)</t>
  </si>
  <si>
    <t>Linear Regression (PRC+Linear Readout+Regularization)</t>
  </si>
  <si>
    <t xml:space="preserve">Y (but the comparisons are using results from different papers that train/evaluate models on different datasets) </t>
  </si>
  <si>
    <t>N/A (data is collected in 5-s lengths)</t>
  </si>
  <si>
    <t>"Success Rate" (Accuracy)</t>
  </si>
  <si>
    <t>Fig. 3d</t>
  </si>
  <si>
    <t>Low sampling rate for physical activity recognition</t>
  </si>
  <si>
    <t>Gerald Bieber</t>
  </si>
  <si>
    <t>https://doi.org/10.1145/2674396.2674446</t>
  </si>
  <si>
    <t xml:space="preserve">0.0166 (downsampled from 32 Hz) </t>
  </si>
  <si>
    <t>MetaWatch</t>
  </si>
  <si>
    <t>walking, running, cycling, resting/office work/active, sleeping</t>
  </si>
  <si>
    <t>Work definition of sitting in front of a computer and do some writing or drinking coffee. Walking (outdoor and treadmill) and running (outdoor and on a treadmill), cycling (outdoor)</t>
  </si>
  <si>
    <t>See Sec. 5. Absolute acc, angle, distance, transchange, volume, sleep value, vertical feature</t>
  </si>
  <si>
    <t>Sec. 7</t>
  </si>
  <si>
    <t>Sony Smartwatch</t>
  </si>
  <si>
    <t>walking, running, cycling, office work/resting/active, sleep</t>
  </si>
  <si>
    <t>A Lightweight Framework for Human Activity Recognition on Wearable Devices</t>
  </si>
  <si>
    <t>Yves Luduvico Coelho</t>
  </si>
  <si>
    <t>https://doi.org/10.1109/JSEN.2021.3113908</t>
  </si>
  <si>
    <t>Static activities: (1) standing till; (2) sitting and relaxing; and (3) lying down
Dynamic activities: (4) walking; (5) climbing stairs; (6) waist bends forward; (7) frontal elevation of arms; (8) knees bending; (9)  cycling; (10) jogging; (11) running; and (12) jumping front and back</t>
  </si>
  <si>
    <t>Heirarchical model: 1) DT (static vs dynamic) and 2) a) 2d-CNN (between dynamic acts) with b) DT for the static acts</t>
  </si>
  <si>
    <t>Keras (CNN)</t>
  </si>
  <si>
    <t>"The acceleration magnitude array m¯ is calculated from the input data window x¯, y¯ and z¯, as in (4). Next, one or more of the following statistical features, according to the system coN/Aiguration, are extracted from the magnitude array: mean (5), maximum (6), minimum (7) and variance (8)"</t>
  </si>
  <si>
    <t>SS. 50/20/30 (by participant)</t>
  </si>
  <si>
    <t>Table 1, 2, 3, 4, 9</t>
  </si>
  <si>
    <t>Accuracy of Samsung Gear S Smartwatch for Activity Recognition: Validation Study</t>
  </si>
  <si>
    <t>10.2196/11270</t>
  </si>
  <si>
    <t>8 (GT3X),  2 (smartwatch)</t>
  </si>
  <si>
    <t>Actigraph GT3X and Samsung Gear S smartwatch</t>
  </si>
  <si>
    <t>40 (not all participants completed all the activities)</t>
  </si>
  <si>
    <t>computer work, ironing, yoga, shopping, laundry, washing windows, home maintence, replacing bed sheet, mopping, trash removal, heavy lifting, leisure walk, rapid walk, walk @ 1 RPE, walk @ 5 RPE</t>
  </si>
  <si>
    <t>DT, RF, SVM, NN</t>
  </si>
  <si>
    <t xml:space="preserve">Variable (1, 2, 4, 8, 15, 16). Most results are given for 16 s </t>
  </si>
  <si>
    <t>Accuracy (sometimes balanced accuracy)</t>
  </si>
  <si>
    <t>Table 5, Fig. 8-9 and 11</t>
  </si>
  <si>
    <t>Low Power Tiny Binary Neural Network with improved accuracy in Human Recognition Systems</t>
  </si>
  <si>
    <t xml:space="preserve">Antonio De Vita </t>
  </si>
  <si>
    <t>https://doi.org/10.1109/DSD51259.2020.00057</t>
  </si>
  <si>
    <t xml:space="preserve">25 (downsampled from 100)  </t>
  </si>
  <si>
    <t>6, 16</t>
  </si>
  <si>
    <t>standing, walking, running, biking, and rope jumping</t>
  </si>
  <si>
    <t xml:space="preserve">HNN (contains CNN) </t>
  </si>
  <si>
    <t>Lasagne</t>
  </si>
  <si>
    <t>5.12, 10.24, 51.20</t>
  </si>
  <si>
    <t>Recall</t>
  </si>
  <si>
    <t>Table 3 (without preprocessing), Table 5 (with preprocessing), Table 6 (with prepocessing and modifying the FCN)</t>
  </si>
  <si>
    <t xml:space="preserve">Y </t>
  </si>
  <si>
    <t>A Partially Binarized Hybrid Neural Network System for Low-Power and Resource Constrained Human Activity Recognition</t>
  </si>
  <si>
    <t>https://doi.org/10.1109/TCSI.2020.3011984</t>
  </si>
  <si>
    <t>5 (from 12)</t>
  </si>
  <si>
    <t>Standing, walking, running, cycling, rope jumping</t>
  </si>
  <si>
    <t>HNN (contains convolutions)</t>
  </si>
  <si>
    <t>Lasagna and TensorFlow Lite</t>
  </si>
  <si>
    <t>"A window
of 5120 samples has been considered (about 50 s of data)."</t>
  </si>
  <si>
    <t>SS. 60/40</t>
  </si>
  <si>
    <t>Highly-accurate binary tiny neural network for low-power human activity recognition</t>
  </si>
  <si>
    <t>https://doi.org/10.1016/j.micpro.2021.104371</t>
  </si>
  <si>
    <t>standing, walking, running, cycling, rope jumping</t>
  </si>
  <si>
    <t>NEAT Activity Detection using Smartwatch at Low Sampling Frequency</t>
  </si>
  <si>
    <t>Ankita Dewan</t>
  </si>
  <si>
    <t>https://doi.org/10.1109/SWC50871.2021.00014</t>
  </si>
  <si>
    <t>1, 5, and 10</t>
  </si>
  <si>
    <t>Fossil Sportswatch running Android OS</t>
  </si>
  <si>
    <t xml:space="preserve">Cooking, sweeping, wet mopping, walking, climb up/down, non-neat activities </t>
  </si>
  <si>
    <t>See Section IIA</t>
  </si>
  <si>
    <t>(1) K-Nearest Neighbour with k=5), (2) Multi-Layer Perceptron (3-hidden layers), (3) Support Vector Machine (with RBF Kernel), (4) Random Forest, and (5) XGB.
Their model is a proposed hierarchical "flat model"</t>
  </si>
  <si>
    <t>Python (sklearn for basic models)</t>
  </si>
  <si>
    <t>"We apply five statistics features on each three time series in a window – (1) mode, (2) max, (3) median, (4) lower quartile, and (5) standard deviation. Hence, we have 15 combinations possible, i.e., each axis (3) paired with each of the statistical features (5). Please note that we have considered the rawsensors values, and no filter was applied before sending it for calculating the statistical features." and "This feature is found using the formula amag = a2 x + a2 y + a2 z. So given the individual axis of the accelerometer, we can find out its magnitude for a given time instant. For this feature as well, we find out the same five statistical features (mode, max, median, lower quartile, and standard deviation) for each window wi ∈ W. There is no filter used before finding the magnitude here as well."</t>
  </si>
  <si>
    <t xml:space="preserve">2, 4, 6 </t>
  </si>
  <si>
    <t xml:space="preserve">0 - 1/2 (s) </t>
  </si>
  <si>
    <t>Fig. 5, 6, and 7</t>
  </si>
  <si>
    <t xml:space="preserve">NOTE: SVM, KNN, and MLP are likely replicable. </t>
  </si>
  <si>
    <t>On-Board Feature Extraction from Acceleration Data for Activity Recognition</t>
  </si>
  <si>
    <t>Atis Elsts</t>
  </si>
  <si>
    <t>https://dl.acm.org/doi/abs/10.5555/3234847.3234868</t>
  </si>
  <si>
    <t>walking, standing, sitting, lying</t>
  </si>
  <si>
    <t>C for features</t>
  </si>
  <si>
    <t>"largely overlapping"</t>
  </si>
  <si>
    <t xml:space="preserve">https://github.com/IRC-SPHERE/embedded-features </t>
  </si>
  <si>
    <t>A computing-efficient algorithm for accelerometer-based real-time activity recognition systems</t>
  </si>
  <si>
    <t>Pejman Ghorbanzade</t>
  </si>
  <si>
    <t>https://doi.org/10.4108/icst.bodynets.2013.253623</t>
  </si>
  <si>
    <t xml:space="preserve">"Ambulatory movements included walking,
sitting, standing, ascending and descending. Observed hand gestures consist of simple hand gestures such as (1) moving hand upward, (2) moving hand downward, (3) moving hand up
and down, (4) waving with tight hand and (5) waving with loose hand as well as a number of activities of daily living such as (6) biking, (7) driving, (8) talking on the phone, (9) walking
and (10) eating." </t>
  </si>
  <si>
    <t>Clustering</t>
  </si>
  <si>
    <t>Exp 1: 15, Exp 2: 0 - 30</t>
  </si>
  <si>
    <t>Fig. 7-8</t>
  </si>
  <si>
    <t>HARKE: Human Activity Recognition from Kinetic Energy Harvesting Data in Wearable Devices</t>
  </si>
  <si>
    <t>Sara Khalifa</t>
  </si>
  <si>
    <t>https://doi.org/10.1109/TMC.2017.2761744</t>
  </si>
  <si>
    <t xml:space="preserve">4 M, 4 F, 20-30 yo </t>
  </si>
  <si>
    <t>rowing (ROW), cycling on an exercise bike (CYC), running on a treadmill with a speed of 8 km/h (RUN), walking on treadmill with a speed of 4 km/h (WALK), jumping (JUMP), standing (STAND), sitting (SIT), ascending stairs (SU), and descending stairs (SD)</t>
  </si>
  <si>
    <t>(1) C4.5 Decision Tree (DT) [50]; (2) IBk Nearest Neighbour (NN) [51]; (3) Naive Bayes classifier with kernel estimation; and (4) Support Vector Machine (SVM) [52]</t>
  </si>
  <si>
    <t>NOTE: DT, IBK, and NP seem replicable. SVM may be replicable if you assume default params in WEKA.</t>
  </si>
  <si>
    <t>Development of a portable activity detector for daily activity recognition</t>
  </si>
  <si>
    <t>Tzu-Ping Kao</t>
  </si>
  <si>
    <t>https://doi.org/10.1109/ISIE.2009.5222001</t>
  </si>
  <si>
    <t>MMA7260Q</t>
  </si>
  <si>
    <t>24 yo, 1F, 3M</t>
  </si>
  <si>
    <t>bushing teeth, hitting, knocking, working at a pc, running, swinging, walking</t>
  </si>
  <si>
    <t>Fuzzy basis classifier with LDA</t>
  </si>
  <si>
    <t>C via GSL</t>
  </si>
  <si>
    <t>"we extract six features from each window, consisting of mean, correlation between axes, mean absolute deviation, root mean square, variance and standard deviation. These features are usually extracted from the triaxial acceleration data [8], [9], [10]"</t>
  </si>
  <si>
    <t xml:space="preserve">SS. 1/3 (by participant) </t>
  </si>
  <si>
    <t>Sec. V</t>
  </si>
  <si>
    <t>Optimising sampling rates for accelerometer-based human activity recognition</t>
  </si>
  <si>
    <t>Aftab Khan</t>
  </si>
  <si>
    <t>https://doi.org/10.1016/j.patrec.2016.01.001</t>
  </si>
  <si>
    <t>"physical activities such
as running, cycling, playing soccer, vacuum cleaning, house cleaning, and car driving."</t>
  </si>
  <si>
    <t>"frame-wise calculation of a total of 23 statistical features as outlined in [8,30]. These include mean and standard deviation of each axis, pitch and roll, entropy, energy and inter-axis correlation coefficients."</t>
  </si>
  <si>
    <t>N* (not available for wrist)</t>
  </si>
  <si>
    <t>Toward Ultra-Low-Power Remote Health Monitoring: An Optimal and Adaptive Compressed Sensing Framework for Activity Recognition</t>
  </si>
  <si>
    <t>Josué Pagán</t>
  </si>
  <si>
    <t>https://doi.org/10.1109/TMC.2018.2843373</t>
  </si>
  <si>
    <t>4 M, 4 F, between 20-30 yo</t>
  </si>
  <si>
    <t>Sitting, walking, runing at different speed, hymping, rowing or playing basketball</t>
  </si>
  <si>
    <t>MATLAB, not for everything</t>
  </si>
  <si>
    <t>"From these data, 10 different statistical features were
extracted [44] for each axis of the accelerometer. This leads
to 30 features per data segment of 5 seconds. These features
are: the amplitude of the segment amp, the median med, the
mean mn, the maximum and minimum values (max and
min), the peak to peak increment p2p, the variance and the
standard deviation (var and std), the root mean square
value rms and, finally, the difference between the first and
last values of the sequence s2e."</t>
  </si>
  <si>
    <t>Table 3 and 8</t>
  </si>
  <si>
    <t>On-Device Semi-Supervised Activity Detection: A New Privacy-Aware Personalized Health Monitoring Approach</t>
  </si>
  <si>
    <t>Avirup Roy</t>
  </si>
  <si>
    <t>https://doi.org/10.3390/s24144444</t>
  </si>
  <si>
    <t>sedentary, moderately active, active</t>
  </si>
  <si>
    <t xml:space="preserve">"The sedentary class encompasses stationary activities such as standing and sitting. Moderately active activities involve ambulatory motion, primarily represented by walking. Finally, the active class pertains to more vigorous physical activities, such as
jogging." </t>
  </si>
  <si>
    <t>SSL model</t>
  </si>
  <si>
    <t>"For each episode, two features are defined for each of the accelerometer axes. The first feature is the coefficient of variation, which reflects the acceleration variability across 40 samples spanning the 2 s long episode. The second feature is the number of mean crossing points within an episode. Physically, this one indicates the frequency of movements of the subject from its mean position."</t>
  </si>
  <si>
    <t xml:space="preserve">Accuracy, TP, FP </t>
  </si>
  <si>
    <t>SolAR: Energy Positive Human Activity Recognition using Solar Cells</t>
  </si>
  <si>
    <t>Muhammad Moid Sandhu</t>
  </si>
  <si>
    <t>https://doi.org/10.1109/PERCOM50583.2021.9439128</t>
  </si>
  <si>
    <t>InvenSense MPU9250</t>
  </si>
  <si>
    <t>21 (indoors (13), outdoors (8))</t>
  </si>
  <si>
    <t>Indoors: age: 34(9.2) yo, weight: 78.4 (12.5) kg. Outdoors: 8
"healthy" adults, age: 32.4 (4.4) yo, weight: 79.7 (8.8) kg.</t>
  </si>
  <si>
    <t>sitting (while putting hands on the table), standing, walking, running and going up/downstairs.</t>
  </si>
  <si>
    <t>RF, KNN, SVM, DT, NB, Nearest centroid (NC), and Gradiaent boosting (GB)</t>
  </si>
  <si>
    <t>See Table 2 for SEH. N/A for Acc.</t>
  </si>
  <si>
    <t>10-fold CV and LOSO CV</t>
  </si>
  <si>
    <t>CNN-based Human Activity Recognition on Edge Computing Devices</t>
  </si>
  <si>
    <t>Amandeep Singh</t>
  </si>
  <si>
    <t>https://doi.org/10.1109/COINS57856.2023.10189270</t>
  </si>
  <si>
    <t>https://www.kaggle.com/datasets/florencdemrozi/adl4ul</t>
  </si>
  <si>
    <t xml:space="preserve">Nordic Thingy 53 </t>
  </si>
  <si>
    <t>10 M, 2 F, 18-27 yo, 52-107 kg, 158-190 cm</t>
  </si>
  <si>
    <t>Sitting, standing, walking, laying, jump, go upstairs, go downstairs, crouching (20x), frontal elevation of arms (20x)</t>
  </si>
  <si>
    <t xml:space="preserve">CNN (theirs), 5 other models as baseline (Logistic Regression, Linear Discriminant Analyses, Decision Tree, Random Forest, Multilayer Perceptron) </t>
  </si>
  <si>
    <t>"3) Feature extraction: Entails extracting meaningful features from the segmented data. We use the open-source library Time Series Feature Extraction Library (TSFEL) [16] to perform feature extraction in the time, frequency, and spectral domains. TSFEL provides a comprehensive set of over 200 time-series features, including both standard and advanced statistical features per each segment. 4) Feature Selection: A decision tree-based feature selection optimizes the feature set, identifying the most iN/Aormative features while eliminating redundant ones to improve the HAR model’s accuracy and generalization capabilities. Moreover, this reduces the training time, memory usage, model size, and iN/Aerence time."</t>
  </si>
  <si>
    <t>.5 - 4</t>
  </si>
  <si>
    <t>0-50</t>
  </si>
  <si>
    <t xml:space="preserve">SS. 70/30 (based on participant ID e.g., P9-12 were used for testing only) </t>
  </si>
  <si>
    <t>From Bits of Data to Bits of Knowledge—An On-Board Classification Framework for Wearable Sensing Systems</t>
  </si>
  <si>
    <t>Pawel Zalewski</t>
  </si>
  <si>
    <t xml:space="preserve">https://doi.org/10.3390/s20061655 </t>
  </si>
  <si>
    <t>Triaxial MC3672 accelerometer</t>
  </si>
  <si>
    <t>23-36 yo, 3 F, 4 M</t>
  </si>
  <si>
    <t>3 sedentary (i.e., sitting, lying, standing), moderate (i.e., walking, turning leftwards, turning rightwards), and 3 rigorous (i.e., jumping, running, exercising) activities.</t>
  </si>
  <si>
    <t>RF (prior eval of SVM, KNN, DNN included in prior work)
Model decides sedentary, mod, or vigorous and then classifies within that category.</t>
  </si>
  <si>
    <t>"In particular, good balance between accuracy and extraction cost is provided by basic time-domain features [17,37], which include: (i) maximum; (ii) median; (iii) minimum; (iv) mean; (v) and variance of the data sequence along the x, y and z axes. Such features, indeed, provide a characterisation of the central tendency of the data distribution (e.g., mean, median), as well as of its dispersion (e.g., maximum, minimum). These time domain features are calculated over a window w for each of the three axes, resulting to 15 features per sensor. In addition to the above, we also employ the Integral of the Modulus of Acceleration (IMA), calculated as in Reference [23]."</t>
  </si>
  <si>
    <t>SS. 50/50</t>
  </si>
  <si>
    <t>Table 1, 5, and 11</t>
  </si>
  <si>
    <t>HAR for a niche population or activity set</t>
  </si>
  <si>
    <t>Machine learning algorithms for activity recognition in ambulant children and adolescents with cerebral palsy</t>
  </si>
  <si>
    <t>Matthew N Ahmadi</t>
  </si>
  <si>
    <t>10.1186/s12984-018-0456-x</t>
  </si>
  <si>
    <t xml:space="preserve">No link in this paper, but may be released in a different publication. </t>
  </si>
  <si>
    <t>4 (from 7)</t>
  </si>
  <si>
    <t>Sed, SUM, brisk walk, comfortable walk</t>
  </si>
  <si>
    <t>sedentary (SED) (supine rest, seated handwriting); standing utilitarian movements (SUM) (wiping down countertop, folding laundry); comfortable walking (CW) (comfortable walk); and brisk walking (BW) (brisk walk and fast walk).</t>
  </si>
  <si>
    <t>BDT, RF, SVM</t>
  </si>
  <si>
    <t>See Sec. Data pre-processing and feature extraction</t>
  </si>
  <si>
    <t>Free-living Evaluation of Laboratory-based Activity Classifiers in Preschoolers</t>
  </si>
  <si>
    <t>10.1249/MSS.0000000000002221</t>
  </si>
  <si>
    <t>Actigraph GT3X+</t>
  </si>
  <si>
    <t xml:space="preserve">"children" 3-5 yo (mean age = 4.0 (0.9) yo), evenly distributed about the age range, 9 G, 22 B. </t>
  </si>
  <si>
    <t>Semi- or highly-supervised and free-living</t>
  </si>
  <si>
    <t>5 (from 22)</t>
  </si>
  <si>
    <t>sedentary, light activity and games, mod-vigorous activity + games, walk, run</t>
  </si>
  <si>
    <t>RF, SVM</t>
  </si>
  <si>
    <t>"Features included mean, SD, minimum, maximum, interquartile range, percentiles (10th, 25th, 50th, 75th, and 95th), coefficient of variation, signal sum, signal power, peak-to-peak amplitude, median crossings, dominant frequency between 0.25 and 5.0 Hz, and magnitude of dominant frequency between 0.25 and 5.0 Hz."</t>
  </si>
  <si>
    <t>Fig. 1, Table 3</t>
  </si>
  <si>
    <t>Machine Learning to Quantify Physical Activity in Children with Cerebral Palsy: Comparison of Group, Group-Personalized, and Fully-Personalized Activity Classification Models</t>
  </si>
  <si>
    <t>Matthew N. Ahmadi</t>
  </si>
  <si>
    <t>https://doi.org/10.3390/s20143976</t>
  </si>
  <si>
    <t>6-18 yo, all with cerebral palsy, 25 F, 13 M. Australian. Some participants were excluded for having various medical procedures. See Table 1</t>
  </si>
  <si>
    <t>SED (supine rest, sitting drawing, and sitting on bench), Standing Utilitary Movements (wiping table + active video game) , and Walking (brisk + moderate walk)</t>
  </si>
  <si>
    <t>(1) Supine rest (lying down and resting, but not sleeping); (2) sitting while continuously writing or coloring in a picture;  (3) active video game (playing an interactive video game designed specifically for children with CP);  (4) comfortable-paced walk in a 25 m course (walking at a pace with the instructions “walk like when you are at the mall or walking in your neighborhood or at school, but you are not in a hurry.”); and  (5) brisk-paced walk in a 25 m course (walking at a pace with the instructions “walk at a fast pace like when you are hurrying to get to class after the bell has rung or you are hurrying to cross the street”)</t>
  </si>
  <si>
    <t>"In total, 15 features were extracted from each axis and included the minimum, maximum, mean, variance, standard deviation, skewness, kurtosis, percentiles (25th, 50th, and 75th), zero-crossings, energy, dominant frequency, dominant magnitude, and entropy. Cross-axis correlations and the mean vector magnitude were also extracted."</t>
  </si>
  <si>
    <t>Fig. 1</t>
  </si>
  <si>
    <t>https://github.com/QUTcparg/Sensors_CP_PersonalisedModels</t>
  </si>
  <si>
    <t>Machine Learning Models for Classifying Physical Activity in Free-Living Preschool Children</t>
  </si>
  <si>
    <t xml:space="preserve"> Matthew N. Ahmadi</t>
  </si>
  <si>
    <t>https://doi.org/10.3390/s20164364</t>
  </si>
  <si>
    <t xml:space="preserve">Aug. </t>
  </si>
  <si>
    <t>3-5 yo. 9G, 22 B, participants approximately stratified by age.</t>
  </si>
  <si>
    <t>Unrestricted play session in a specified location</t>
  </si>
  <si>
    <t>SED = sedentary; LIGHT AG = light activity and games; MV AG = moderate to vigorous activities and games; WALK = walking; RUN = running</t>
  </si>
  <si>
    <t>"R software"</t>
  </si>
  <si>
    <t>Two feature sets: 1) "Base features: time and frequency domain features were used in the previously published activity classification models [21,22,28]: mean, SD, minimum, maximum, interquartile range, percentiles (10th, 25th, 50th, 75th, 95th), coefficient of variation, signal sum, signal power, peak-to-peak amplitude, median crossings, cross axis correlations, dominant frequency between 0.25 and 5.0 Hz, and magnitude of dominant frequency between 0.25 and 5.0 Hz."  2) " Base plus temporal features: a second feature set consisted of the base features and temporal features calculated from the preceding (lead) and succeeding (lag) activity windows. These included the standard deviation (SD) for the 1 and 2 lag and lead windows and the SD over the lag and lead windows and the current window ([σ = 1 N PN i=0 (xi − µ) 2 ], where n = 5). This resulted in a total of five temporal features, in addition to the base features."</t>
  </si>
  <si>
    <t>1, 5, 10, 15</t>
  </si>
  <si>
    <t xml:space="preserve">https://github.com/QUTcparg/PS_PAClassification </t>
  </si>
  <si>
    <t>A comprehensive evaluation of state-of-the-art time-series deep learning models for activity-recognition in post-stroke rehabilitation assessment</t>
  </si>
  <si>
    <t>Issam Boukhennoufa</t>
  </si>
  <si>
    <t>https://doi.org/10.1109/EMBC46164.2021.9630462</t>
  </si>
  <si>
    <t xml:space="preserve">See Table 1 
</t>
  </si>
  <si>
    <t xml:space="preserve">16 models evaluated. Combinations of RNN, CNN, RNN-CNN, and Wavelet Based NN. </t>
  </si>
  <si>
    <t>FAST AI (Tsai)</t>
  </si>
  <si>
    <t>Activity detection and classification from wristband accelerometer data collected on people with type 1 diabetes in free-living conditions</t>
  </si>
  <si>
    <t xml:space="preserve">Marzia Cescon </t>
  </si>
  <si>
    <t>https://doi.org/10.1016/j.compbiomed.2021.104633</t>
  </si>
  <si>
    <t xml:space="preserve">Empatica E4 </t>
  </si>
  <si>
    <t>8 M, 12 F, age 44.9 (5) yo, duration of T1 Diabetes for 22.9 (15.8) yo,
mean HbA1c of 6.8 (0.7)</t>
  </si>
  <si>
    <t>Depends on Subj.</t>
  </si>
  <si>
    <t>N* (self defined/annotated)</t>
  </si>
  <si>
    <t>LSTM, MLP, SVM, RF, kNN, NB, LR</t>
  </si>
  <si>
    <t>Keras, and scikit</t>
  </si>
  <si>
    <t>See Appendix B</t>
  </si>
  <si>
    <t>Fig. 5, Table 4, 6, 7</t>
  </si>
  <si>
    <t>Sed, Mild, Mod, Vig</t>
  </si>
  <si>
    <t xml:space="preserve">RF / Threshold (Energy expenditure) </t>
  </si>
  <si>
    <t>Capturing accelerometer outputs in healthy volunteers under normal and simulated-pathological conditions using ML classifiers</t>
  </si>
  <si>
    <t>V. Filippou</t>
  </si>
  <si>
    <t>https://doi.org/10.1109/EMBC44109.2020.9176201</t>
  </si>
  <si>
    <t>MOX</t>
  </si>
  <si>
    <t>32.7  (12.7) yo, 14 F, mean height 171.5 (7.1) cm, mean weight 69.2 (13.6) kg.</t>
  </si>
  <si>
    <t>lie down, sit, stand, stand-to-sit, slow walk, normal walk, fast walk, walk upstairs, walk downstairs.</t>
  </si>
  <si>
    <t>NN, RF, SVM, KNN, and NB
3 experimental situtations: 
1. healthy and tested on health (h/H)
2. trained on pathological and evaluated on pathological (S/S)
3. trained on healthy and evaled on simulated pathological (H/S)</t>
  </si>
  <si>
    <t>Python</t>
  </si>
  <si>
    <t>"From the acceleration time series in each window, we extracted a set of 120 summary features to represent the acceleration (x, y, z, t), jerk (x, y, z, t), angular velocity and inclination angle (x, y, z) signals. The features derived were time-domain (mean, standard deviation, kurtosis, skewness, root mean square, interquartile range, power spectral density) and frequency-domain (energy, max frequency, max 2nd frequency, mean frequency, entropy). A reduced number of linear combinations of these features were selected using principal component analysis (PCA). "</t>
  </si>
  <si>
    <t xml:space="preserve"> static, dynamic, transition</t>
  </si>
  <si>
    <t>Identifying physical activity type in manual wheelchair users with spinal cord injury by means of accelerometers</t>
  </si>
  <si>
    <t>X Garcia-Masso</t>
  </si>
  <si>
    <t>10.1038/sc.2015.81</t>
  </si>
  <si>
    <t>all participants used a wheelchair, 40.03 (10.57) yo, 75.8 (17.54) kg and 1.76 (0.09) m. See Table 1</t>
  </si>
  <si>
    <t xml:space="preserve">5 (from 10) </t>
  </si>
  <si>
    <t>raw: lying down, body transfers, moving items, mopping, working on a computer, watching TV, arm-ergometer exercise, passive propulsion, slow propulsion and fast propulsion. Grouped: sedentary, transfers, housework, moderate physical activity, locomotion</t>
  </si>
  <si>
    <t>LDA, QDA, SVM</t>
  </si>
  <si>
    <t>Matplot (features)</t>
  </si>
  <si>
    <t>See Sec. Signal Processing. "We worked out 14 variables for each axis (that is, X, Y, Z and resultant vector) at 4, 5, 6 and 7 min for each activity. The s.d., variance and the 10th, 25th, 50th, 75th and 90th percentiles, interquartile range and the range between the 10th and 90th percentiles were calculated in the time domain. The lag-one correlation of each min was also worked out as a measure of temporal dynamics."</t>
  </si>
  <si>
    <t xml:space="preserve">Table 3 and 4 </t>
  </si>
  <si>
    <t>Classifying tasks performed by electrical line workers using a wrist-worn sensor: A data analytic approach</t>
  </si>
  <si>
    <t>Saeb Ragani Lamooki</t>
  </si>
  <si>
    <t>10.1371/journal.pone.0261765</t>
  </si>
  <si>
    <t xml:space="preserve">Dec </t>
  </si>
  <si>
    <t>https://github.com/saebragani/Activity-Recognition</t>
  </si>
  <si>
    <t xml:space="preserve">sit, stand, walk, hoise, lift + lower a box, push a cart, ascens + descent a ladder, type on a computer, work at electrical panel, overhead screw. </t>
  </si>
  <si>
    <t>SNN, SVM, RF</t>
  </si>
  <si>
    <t>See Sec. 2.4</t>
  </si>
  <si>
    <t>4 and 10</t>
  </si>
  <si>
    <t>Tables 4 and 5</t>
  </si>
  <si>
    <t>Transfer Learning Improves Accelerometer-Based Child Activity Recognition via Subject-Independent Adult-Domain Adaption</t>
  </si>
  <si>
    <t>Jinxuan Li</t>
  </si>
  <si>
    <t>https://doi.org/10.1109/jbhi.2021.3118717</t>
  </si>
  <si>
    <t>Meta Motion R</t>
  </si>
  <si>
    <t>40 (20 adults, 20 kids)</t>
  </si>
  <si>
    <t>"adults": 14 M, 6 F, age: 23.2 (3.6) yo,
height: 1.71 (0.09) m, weight: 60.2 ± (7.7) kg. twenty "children": 7 M, 13 F, age: 8.8 (1.8) yo; height: 1.33 (0.13) m; weight: 29.5 (9.5) kg</t>
  </si>
  <si>
    <t>walking, running, sitting, rope skipping</t>
  </si>
  <si>
    <t>KNN, SVM, RF</t>
  </si>
  <si>
    <t>Accuracy, F1, Sensititvity, Specificity</t>
  </si>
  <si>
    <t>Activity Recognition in Youth Using Single Accelerometer Placed at Wrist or Ankle</t>
  </si>
  <si>
    <t>10.1249/MSS.0000000000001144</t>
  </si>
  <si>
    <t>"youth" 12 B, 8 G, 13 (1.3) yo</t>
  </si>
  <si>
    <t>4 (from 33)</t>
  </si>
  <si>
    <t>ambulation, cycling, other, and sedentary</t>
  </si>
  <si>
    <t>Table 4, 5, 6</t>
  </si>
  <si>
    <t>Sensor-Based Human Activity Recognition for Elderly In-patients with a Luong Self-Attention Network</t>
  </si>
  <si>
    <t>G R Nithin</t>
  </si>
  <si>
    <t>https://doi.org/10.1109/CHASE52844.2021.00019</t>
  </si>
  <si>
    <t>24 F (80% of the participants), average age: 81.4 yo. "The mobility status details are: one (3.3%) of the adults was entirely independent, 12 (40.0%) were independent with a cane/walker, and 17 (56.7%) needed assistance from a person to walk."</t>
  </si>
  <si>
    <t>lying, siting, standing, walking</t>
  </si>
  <si>
    <t>Task learning model (PTM) and a triplet multitask learning model (T-MTL) (Conv-LSTM with self attention)</t>
  </si>
  <si>
    <t>Keras/TensorFlow</t>
  </si>
  <si>
    <t>A Combination of Indoor Localization and Wearable Sensor-Based Physical Activity Recognition to Assess Older Patients Undergoing Subacute Rehabilitation: Baseline Study Results</t>
  </si>
  <si>
    <t>Ramin Ramezani</t>
  </si>
  <si>
    <t>10.2196/14090</t>
  </si>
  <si>
    <t>Sony SmartWatch 3</t>
  </si>
  <si>
    <t>2 or 4</t>
  </si>
  <si>
    <t>2: walking and stationary, 4: stand, sit, lay, and walk</t>
  </si>
  <si>
    <t>Random Forest</t>
  </si>
  <si>
    <t>Python Programming Language libraries Pandas (version 0.21.0) and Numpy (version 1.14.5), Scipy (version 1.0.0), and Scikit-learn (version 0.19.1) </t>
  </si>
  <si>
    <t>"Time and frequency domain characteristics of the signal (main, median, variance, skewness, kurtosis, peak frequency, and peak power) were used as features"</t>
  </si>
  <si>
    <t>F1, TP, FP, Precision, Recall, and ROC</t>
  </si>
  <si>
    <t>Table 1 and 2</t>
  </si>
  <si>
    <t>Performance of Activity Classification Algorithms in Free-Living Older Adults</t>
  </si>
  <si>
    <t>Jeffer Eidi Sasaki</t>
  </si>
  <si>
    <t>10.1249/MSS.0000000000000844</t>
  </si>
  <si>
    <t>"exclusion criteria:  1) age &lt;65 or &gt;85 years, 2) use of any ambulatory assistive device, 3) lower extremity mobility impairment, or 4) presence of any condition that significantly affected ambulation." "Participant characteristics (n = 35, 21 females and 14 males) for the laboratory protocol were age = 70.6 ± 5.0 yr, body mass = 76.4 ± 14.4 kg, height = 168.6 ± 9.9 cm, BMI = 26.8 ± 4.2 kg·m−2, and 400 m walk speed = 1.17 ± 0.18 m·s−1. Participant characteristics (n = 15, 9 females and 6 males) for the free-living protocol were age = 70.0 ± 4.3 yr, body mass = 74.5 ± 11.5 kg, height = 169.8 ± 9.9 cm, BMI = 26.0 ± 4.3 kg·m−2, and 400-m walk speed = 1.20 ± 0.2 m·s−1."</t>
  </si>
  <si>
    <t>5 (from 16)</t>
  </si>
  <si>
    <t>standing, sedentary, locomotion, household, recreational</t>
  </si>
  <si>
    <t>Y (See Feautre Extraction, Data Processing, and Algorithm Development)</t>
  </si>
  <si>
    <t>SVM, RF</t>
  </si>
  <si>
    <t>The open source R statistical software package, version 3.0.1 - “Good Sport” (www.r-project.org) was used for developing and evaluating the algorithms. Packages ‘e1071′, and ‘Random Forest’ were used for developing the SVM and RF algorithms. For the SVM models, a radial-basis kernel was used and all other parameters from the ‘e1071′ package were kept in their initial default coN/Aiguration. For the RF models, the number of trees was set to 500.</t>
  </si>
  <si>
    <t>See Sec. Feature Extraction, Data Processing and Algortihm Development</t>
  </si>
  <si>
    <t>Variable (5, 10, 20, 30)</t>
  </si>
  <si>
    <t>Accuracy, Specificty, and Sensitivity</t>
  </si>
  <si>
    <t>Table 1-5</t>
  </si>
  <si>
    <t>15 (from lab)</t>
  </si>
  <si>
    <t>Effect of Equipment on the Accuracy of Accelerometer-Based Human Activity Recognition in Extreme Environments</t>
  </si>
  <si>
    <t>Stephen Ward</t>
  </si>
  <si>
    <t> https://doi.org/10.3390/s23031416</t>
  </si>
  <si>
    <t>Available by request to authors.</t>
  </si>
  <si>
    <t>Perception Neuron Mo-Cap</t>
  </si>
  <si>
    <t>19-32 yo, mean age: 25 yo, "students with previous mountaineering ecperience"</t>
  </si>
  <si>
    <t>walking on flat ground, walking up an incline slope, walking down a decline slope, walking up stairs, walking down stairs, sit on a 30 cm high block from standing, and stand from sitting on a 30 cm high block</t>
  </si>
  <si>
    <t>Ensemble bagged trees (EBT), SVM, DT, KNN2, KNN1 (weighted)</t>
  </si>
  <si>
    <t>Table 8</t>
  </si>
  <si>
    <t>Other</t>
  </si>
  <si>
    <t>Avoiding Bias in Classification Accuracy - A Case Study for Activity Recognition</t>
  </si>
  <si>
    <t>Heli Koskimäki</t>
  </si>
  <si>
    <t>https://doi.org/10.1109/SSCI.2015.52</t>
  </si>
  <si>
    <t>Unnamed Daily activities</t>
  </si>
  <si>
    <t xml:space="preserve">Link to UCI ML repository, no specific dataset found. </t>
  </si>
  <si>
    <t>walking, pushing lawnmower, biking, jogging, playing football (soccer), running, washing dishes, dusting, mopping, ironing, vacuuming, ascending and descending stairs, sitting, working with computer, teaching at blackboard, reading book, reading magazines and packing/unpacking boxes</t>
  </si>
  <si>
    <t>parametric linear discriminant analysis (LDA) quadratic discriminant analysis (QDA), C4.5 DT, KNN, SVM</t>
  </si>
  <si>
    <t>"Within each window specific features were calculated, although, to be able to test the feature selection step for activity recognition the amount of features was intentionally exploded in this study. Thus the features included previously used features for activity recognition (e.g. in [14]) as well as novel features called in this article phase based features. In practice, these features were calculated for every signal one signal at a time by searching crossings of the signal with a predefined limit L. Between these crossings the biggest and smallest area below and above of the limit as well as the biggest and smallest amplitude were calculated for the signal in question. In addition, area iN/Aormation at the corresponding sequence of the other two signals were selected as features as well as the corresponding amplitude of the signals (see Figure 1). In this article three limits were used (0, 1 and mean). These features were then divided into three sets where the first set basically consisted of statistical features (standard deviation, mean, minimum, maximum, percentiles, sequence periods, zero-crossings and mean crossings for every channels and correlation iN/Aormation between the channels), second set added wavelet and FFT features and the third set the phase based features.
In this article, the best features were chosen using sequential forward selection (SFS) and minimum Redundancy Maximum Relevance Feature Selection (mRMR). In the SFS the the best features were selected one at a time using the classification accuracy of the model(s) in question as a selection criteria [15]. However, the selection was not stopped at local minimum but it was allowed to choose until “the best features” included all the features. On the other hand, with mRMR the feature selection was done model independently by selecting features having the highest correlation to the classification variable but locating far from each other [16]. Nevertheless, also when using mRMR the amount of features was selected using the model independent feature ranking with the model dependent maximum classification accuracy in leave-one-person-out cross-validation for each model separately."</t>
  </si>
  <si>
    <t>SS (70/30), 10-fold CV (with 70/30 split in folds), Double LOSO CV</t>
  </si>
  <si>
    <t>Table 2, 3, and 5</t>
  </si>
  <si>
    <t>NOT REPLICABLE</t>
  </si>
  <si>
    <t>NOT REPRODUCIBLE</t>
  </si>
  <si>
    <t>Dataset (Raw Name)</t>
  </si>
  <si>
    <t>Count (by #)</t>
  </si>
  <si>
    <t>Dataset (Compiled)</t>
  </si>
  <si>
    <t>Count</t>
  </si>
  <si>
    <t>ExtraSensory</t>
  </si>
  <si>
    <t>ASTRI</t>
  </si>
  <si>
    <t>IMSBD</t>
  </si>
  <si>
    <t>TwistAR</t>
  </si>
  <si>
    <t>SHL</t>
  </si>
  <si>
    <t>Reproducible</t>
  </si>
  <si>
    <t>Replicable</t>
  </si>
  <si>
    <t>Weights</t>
  </si>
  <si>
    <t>Algorithms</t>
  </si>
  <si>
    <t>Data</t>
  </si>
  <si>
    <t>Cross DS</t>
  </si>
  <si>
    <t>Mult DS</t>
  </si>
  <si>
    <t>Classwise</t>
  </si>
  <si>
    <t>Baseline</t>
  </si>
  <si>
    <t>Single Split</t>
  </si>
  <si>
    <t>k-fold CV</t>
  </si>
  <si>
    <t>10+</t>
  </si>
  <si>
    <t>9 6 to 9</t>
  </si>
  <si>
    <t xml:space="preserve">2 to 5 </t>
  </si>
  <si>
    <t>Algorithmic Changes (e.g., architecture or preprocessing)</t>
  </si>
  <si>
    <t/>
  </si>
  <si>
    <t>\gcheck</t>
  </si>
  <si>
    <t>\ycheck</t>
  </si>
  <si>
    <t>Cat. total</t>
  </si>
  <si>
    <t xml:space="preserve">Count </t>
  </si>
  <si>
    <t>Percentage</t>
  </si>
  <si>
    <t>Evaluating sensor placement and modality for activity recognition inactive games</t>
  </si>
  <si>
    <t>Cat. Total</t>
  </si>
  <si>
    <t>A computing-efficient algorithm for accelerometer-based real-time activityrecognition systems</t>
  </si>
  <si>
    <t>Total</t>
  </si>
  <si>
    <t>Alg.</t>
  </si>
  <si>
    <t>Personal</t>
  </si>
  <si>
    <t xml:space="preserve">Data </t>
  </si>
  <si>
    <t>Sum</t>
  </si>
  <si>
    <t>General</t>
  </si>
  <si>
    <t>Same?</t>
  </si>
  <si>
    <t>Online</t>
  </si>
  <si>
    <t xml:space="preserve">Sanity Check </t>
  </si>
  <si>
    <t>Niche</t>
  </si>
  <si>
    <t>Missing Atrribute</t>
  </si>
  <si>
    <t>Device</t>
  </si>
  <si>
    <t>Frequency</t>
  </si>
  <si>
    <t>Range</t>
  </si>
  <si>
    <t>Definitions</t>
  </si>
  <si>
    <t>Wrist</t>
  </si>
  <si>
    <t>n</t>
  </si>
  <si>
    <t>Length</t>
  </si>
  <si>
    <t>Overlap</t>
  </si>
  <si>
    <t>Libraries</t>
  </si>
  <si>
    <t>TOTAL:</t>
  </si>
  <si>
    <t>Y * (there are model weights. Correspondance with the author revealed they do not know what trainings they are the result of.)</t>
  </si>
  <si>
    <t xml:space="preserve">ANN is missing seed, so you may get slightly different results. Also, data is in already generated features. </t>
  </si>
  <si>
    <t>Y* (extracted features)</t>
  </si>
  <si>
    <t>https://github.com/alokchy04/Decision-Fused-Ensembles-for-PA-Classification-from-Wrist-Worn-Accelerometer/tree/master/FET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</si>
</sst>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u/>
      <sz val="12"/>
      <color theme="10"/>
      <name val="Aptos Narrow"/>
      <family val="2"/>
      <scheme val="minor"/>
    </font>
    <font>
      <sz val="11"/>
      <color theme="1"/>
      <name val="Aptos"/>
    </font>
    <font>
      <sz val="11"/>
      <color rgb="FF000000"/>
      <name val="Aptos"/>
    </font>
    <font>
      <u/>
      <sz val="11"/>
      <color theme="10"/>
      <name val="Aptos"/>
    </font>
    <font>
      <b/>
      <sz val="11"/>
      <color theme="1"/>
      <name val="Aptos"/>
    </font>
    <font>
      <sz val="11"/>
      <color rgb="FF333333"/>
      <name val="Aptos"/>
    </font>
    <font>
      <sz val="11"/>
      <color rgb="FF1A254C"/>
      <name val="Aptos"/>
    </font>
    <font>
      <b/>
      <sz val="11"/>
      <color rgb="FF4F5671"/>
      <name val="Aptos"/>
    </font>
    <font>
      <sz val="12"/>
      <color rgb="FF000000"/>
      <name val="Aptos Narrow"/>
      <family val="2"/>
      <scheme val="minor"/>
    </font>
    <font>
      <b/>
      <sz val="12"/>
      <color theme="1"/>
      <name val="Aptos Narrow"/>
      <family val="2"/>
      <scheme val="minor"/>
    </font>
    <font>
      <b/>
      <sz val="12"/>
      <color theme="1"/>
      <name val="Aptos Narrow"/>
      <scheme val="minor"/>
    </font>
  </fonts>
  <fills count="9">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12">
    <border>
      <left/>
      <right/>
      <top/>
      <bottom/>
      <diagonal/>
    </border>
    <border>
      <left/>
      <right style="thin">
        <color indexed="64"/>
      </right>
      <top/>
      <bottom/>
      <diagonal/>
    </border>
    <border>
      <left style="thin">
        <color auto="1"/>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auto="1"/>
      </left>
      <right/>
      <top style="thin">
        <color indexed="64"/>
      </top>
      <bottom/>
      <diagonal/>
    </border>
    <border>
      <left/>
      <right/>
      <top style="thin">
        <color indexed="64"/>
      </top>
      <bottom style="thin">
        <color indexed="64"/>
      </bottom>
      <diagonal/>
    </border>
    <border>
      <left/>
      <right/>
      <top/>
      <bottom style="double">
        <color indexed="64"/>
      </bottom>
      <diagonal/>
    </border>
    <border>
      <left/>
      <right style="thin">
        <color indexed="64"/>
      </right>
      <top style="double">
        <color indexed="64"/>
      </top>
      <bottom/>
      <diagonal/>
    </border>
  </borders>
  <cellStyleXfs count="2">
    <xf numFmtId="0" fontId="0" fillId="0" borderId="0"/>
    <xf numFmtId="0" fontId="1" fillId="0" borderId="0" applyNumberFormat="0" applyFill="0" applyBorder="0" applyAlignment="0" applyProtection="0"/>
  </cellStyleXfs>
  <cellXfs count="150">
    <xf numFmtId="0" fontId="0" fillId="0" borderId="0" xfId="0"/>
    <xf numFmtId="0" fontId="2" fillId="0" borderId="0" xfId="0" applyFont="1" applyAlignment="1">
      <alignment horizontal="left" vertical="top" wrapText="1"/>
    </xf>
    <xf numFmtId="0" fontId="4" fillId="0" borderId="0" xfId="1" applyFont="1" applyFill="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center"/>
    </xf>
    <xf numFmtId="0" fontId="5" fillId="2" borderId="3" xfId="0" applyFont="1" applyFill="1" applyBorder="1" applyAlignment="1">
      <alignment horizontal="left" wrapText="1"/>
    </xf>
    <xf numFmtId="0" fontId="5" fillId="2" borderId="4" xfId="0" applyFont="1" applyFill="1" applyBorder="1" applyAlignment="1">
      <alignment horizontal="left" wrapText="1"/>
    </xf>
    <xf numFmtId="0" fontId="5" fillId="3" borderId="3" xfId="0" applyFont="1" applyFill="1" applyBorder="1" applyAlignment="1">
      <alignment horizontal="left" wrapText="1"/>
    </xf>
    <xf numFmtId="0" fontId="5" fillId="4" borderId="5" xfId="0" applyFont="1" applyFill="1" applyBorder="1" applyAlignment="1">
      <alignment horizontal="left" wrapText="1"/>
    </xf>
    <xf numFmtId="0" fontId="5" fillId="4" borderId="3" xfId="0" applyFont="1" applyFill="1" applyBorder="1" applyAlignment="1">
      <alignment horizontal="left" wrapText="1"/>
    </xf>
    <xf numFmtId="0" fontId="5" fillId="5" borderId="3" xfId="0" applyFont="1" applyFill="1" applyBorder="1" applyAlignment="1">
      <alignment horizontal="left" wrapText="1"/>
    </xf>
    <xf numFmtId="0" fontId="1" fillId="0" borderId="0" xfId="1" applyFill="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2" fillId="0" borderId="3" xfId="0" applyFont="1" applyBorder="1" applyAlignment="1">
      <alignment horizontal="center"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0" fillId="0" borderId="0" xfId="0" applyAlignment="1">
      <alignment wrapText="1"/>
    </xf>
    <xf numFmtId="0" fontId="2" fillId="0" borderId="1" xfId="0" applyFont="1" applyBorder="1" applyAlignment="1">
      <alignment vertical="top" wrapText="1"/>
    </xf>
    <xf numFmtId="0" fontId="2" fillId="0" borderId="2" xfId="0" applyFont="1" applyBorder="1" applyAlignment="1">
      <alignment vertical="top" wrapText="1"/>
    </xf>
    <xf numFmtId="0" fontId="11" fillId="2" borderId="3" xfId="0" applyFont="1" applyFill="1" applyBorder="1" applyAlignment="1">
      <alignment horizontal="left" wrapText="1"/>
    </xf>
    <xf numFmtId="0" fontId="0" fillId="0" borderId="0" xfId="0" applyAlignment="1">
      <alignment horizontal="left" vertical="top" wrapText="1"/>
    </xf>
    <xf numFmtId="0" fontId="5" fillId="3" borderId="3" xfId="0" applyFont="1" applyFill="1" applyBorder="1" applyAlignment="1">
      <alignment horizontal="center"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2" fillId="0" borderId="4" xfId="0" applyFont="1" applyBorder="1" applyAlignment="1">
      <alignment horizontal="center" vertical="top" wrapText="1"/>
    </xf>
    <xf numFmtId="0" fontId="5" fillId="4" borderId="3" xfId="0" applyFont="1" applyFill="1" applyBorder="1" applyAlignment="1">
      <alignment horizontal="center" wrapText="1"/>
    </xf>
    <xf numFmtId="0" fontId="5" fillId="4" borderId="4" xfId="0" applyFont="1" applyFill="1" applyBorder="1" applyAlignment="1">
      <alignment horizontal="center" wrapText="1"/>
    </xf>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5" fillId="6" borderId="3" xfId="0" applyFont="1" applyFill="1" applyBorder="1" applyAlignment="1">
      <alignment horizontal="center" wrapText="1"/>
    </xf>
    <xf numFmtId="0" fontId="5" fillId="6" borderId="4" xfId="0" applyFont="1" applyFill="1" applyBorder="1" applyAlignment="1">
      <alignment horizontal="center" wrapText="1"/>
    </xf>
    <xf numFmtId="0" fontId="4" fillId="0" borderId="0" xfId="1" applyFont="1" applyFill="1" applyBorder="1" applyAlignment="1">
      <alignment horizontal="center" vertical="top" wrapText="1"/>
    </xf>
    <xf numFmtId="0" fontId="2"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9" fillId="0" borderId="1" xfId="0" applyFont="1" applyBorder="1" applyAlignment="1">
      <alignment horizontal="center"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4" fillId="0" borderId="3" xfId="1" applyFont="1" applyFill="1" applyBorder="1" applyAlignment="1">
      <alignment horizontal="left" vertical="top" wrapText="1"/>
    </xf>
    <xf numFmtId="0" fontId="2" fillId="0" borderId="6" xfId="0" applyFont="1" applyBorder="1" applyAlignment="1">
      <alignment horizontal="left" vertical="top" wrapText="1"/>
    </xf>
    <xf numFmtId="0" fontId="4" fillId="0" borderId="6" xfId="1" applyFont="1" applyFill="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5" fillId="6" borderId="5" xfId="0" applyFont="1" applyFill="1" applyBorder="1" applyAlignment="1">
      <alignment horizontal="center" wrapText="1"/>
    </xf>
    <xf numFmtId="0" fontId="2" fillId="0" borderId="2" xfId="0" applyFont="1" applyBorder="1" applyAlignment="1">
      <alignment horizontal="center" vertical="top" wrapText="1"/>
    </xf>
    <xf numFmtId="0" fontId="9" fillId="0" borderId="2" xfId="0" applyFont="1" applyBorder="1" applyAlignment="1">
      <alignment horizontal="center" vertical="top" wrapText="1"/>
    </xf>
    <xf numFmtId="0" fontId="3" fillId="0" borderId="2" xfId="0" applyFont="1" applyBorder="1" applyAlignment="1">
      <alignment horizontal="center" vertical="top" wrapText="1"/>
    </xf>
    <xf numFmtId="0" fontId="2" fillId="0" borderId="5" xfId="0" applyFont="1" applyBorder="1" applyAlignment="1">
      <alignment horizontal="center" vertical="top" wrapText="1"/>
    </xf>
    <xf numFmtId="0" fontId="2" fillId="0" borderId="8" xfId="0" applyFont="1" applyBorder="1" applyAlignment="1">
      <alignment horizontal="center" vertical="top" wrapText="1"/>
    </xf>
    <xf numFmtId="20" fontId="2" fillId="0" borderId="0" xfId="0" applyNumberFormat="1" applyFont="1" applyAlignment="1">
      <alignment horizontal="left" vertical="top" wrapText="1"/>
    </xf>
    <xf numFmtId="16" fontId="2" fillId="0" borderId="0" xfId="0" applyNumberFormat="1" applyFont="1" applyAlignment="1">
      <alignment horizontal="center" vertical="top" wrapText="1"/>
    </xf>
    <xf numFmtId="0" fontId="7" fillId="0" borderId="0" xfId="0" applyFont="1" applyAlignment="1">
      <alignment horizontal="left" vertical="top" wrapText="1"/>
    </xf>
    <xf numFmtId="0" fontId="9" fillId="0" borderId="2" xfId="0" applyFont="1" applyBorder="1" applyAlignment="1">
      <alignment horizontal="left" vertical="top" wrapText="1"/>
    </xf>
    <xf numFmtId="0" fontId="9" fillId="0" borderId="1" xfId="0" applyFont="1" applyBorder="1" applyAlignment="1">
      <alignment horizontal="left" vertical="top" wrapText="1"/>
    </xf>
    <xf numFmtId="0" fontId="1" fillId="0" borderId="0" xfId="1" applyBorder="1" applyAlignment="1">
      <alignment horizontal="left" vertical="top" wrapText="1"/>
    </xf>
    <xf numFmtId="17" fontId="9" fillId="0" borderId="0" xfId="0" applyNumberFormat="1" applyFont="1" applyAlignment="1">
      <alignment horizontal="left" vertical="top" wrapText="1"/>
    </xf>
    <xf numFmtId="0" fontId="8" fillId="0" borderId="0" xfId="0" applyFont="1" applyAlignment="1">
      <alignment horizontal="left" vertical="top" wrapText="1"/>
    </xf>
    <xf numFmtId="17" fontId="2" fillId="0" borderId="0" xfId="0" applyNumberFormat="1" applyFont="1" applyAlignment="1">
      <alignment horizontal="left" vertical="top" wrapText="1"/>
    </xf>
    <xf numFmtId="3" fontId="9" fillId="0" borderId="0" xfId="0" applyNumberFormat="1" applyFont="1" applyAlignment="1">
      <alignment horizontal="center" vertical="top" wrapText="1"/>
    </xf>
    <xf numFmtId="0" fontId="1" fillId="0" borderId="6" xfId="1" applyFill="1" applyBorder="1" applyAlignment="1">
      <alignment horizontal="left" vertical="top" wrapText="1"/>
    </xf>
    <xf numFmtId="0" fontId="4" fillId="0" borderId="6" xfId="1" applyFont="1" applyFill="1" applyBorder="1" applyAlignment="1">
      <alignment horizontal="center" vertical="top" wrapText="1"/>
    </xf>
    <xf numFmtId="0" fontId="3" fillId="0" borderId="7" xfId="0" applyFont="1" applyBorder="1" applyAlignment="1">
      <alignment horizontal="center" vertical="top" wrapText="1"/>
    </xf>
    <xf numFmtId="0" fontId="3" fillId="0" borderId="3" xfId="0" applyFont="1" applyBorder="1" applyAlignment="1">
      <alignment horizontal="left" vertical="top" wrapText="1"/>
    </xf>
    <xf numFmtId="0" fontId="2" fillId="0" borderId="0" xfId="0" quotePrefix="1" applyFont="1" applyAlignment="1">
      <alignment horizontal="left" vertical="top" wrapText="1"/>
    </xf>
    <xf numFmtId="0" fontId="4" fillId="0" borderId="3" xfId="1" applyFont="1" applyFill="1" applyBorder="1" applyAlignment="1">
      <alignment horizontal="center" vertical="top" wrapText="1"/>
    </xf>
    <xf numFmtId="0" fontId="6" fillId="0" borderId="6" xfId="0" applyFont="1" applyBorder="1" applyAlignment="1">
      <alignment horizontal="left" vertical="top" wrapText="1"/>
    </xf>
    <xf numFmtId="0" fontId="10" fillId="0" borderId="0" xfId="0" applyFont="1"/>
    <xf numFmtId="0" fontId="0" fillId="0" borderId="0" xfId="0" applyAlignment="1">
      <alignment vertical="top" wrapText="1"/>
    </xf>
    <xf numFmtId="0" fontId="2" fillId="0" borderId="0" xfId="0" applyFont="1" applyAlignment="1">
      <alignment vertical="top" wrapText="1"/>
    </xf>
    <xf numFmtId="0" fontId="0" fillId="0" borderId="3" xfId="0" applyBorder="1"/>
    <xf numFmtId="0" fontId="0" fillId="0" borderId="6" xfId="0" applyBorder="1"/>
    <xf numFmtId="0" fontId="0" fillId="0" borderId="6" xfId="0" applyBorder="1" applyAlignment="1">
      <alignment horizontal="center" vertical="center"/>
    </xf>
    <xf numFmtId="0" fontId="0" fillId="0" borderId="9" xfId="0" applyBorder="1"/>
    <xf numFmtId="0" fontId="0" fillId="0" borderId="10" xfId="0" applyBorder="1"/>
    <xf numFmtId="0" fontId="10" fillId="8" borderId="3" xfId="0" applyFont="1" applyFill="1" applyBorder="1" applyAlignment="1">
      <alignment horizontal="left" vertical="top" wrapText="1"/>
    </xf>
    <xf numFmtId="0" fontId="0" fillId="0" borderId="6" xfId="0" applyBorder="1" applyAlignment="1">
      <alignment vertical="center"/>
    </xf>
    <xf numFmtId="0" fontId="0" fillId="0" borderId="3" xfId="0" applyBorder="1" applyAlignment="1">
      <alignment vertical="center"/>
    </xf>
    <xf numFmtId="0" fontId="11" fillId="0" borderId="0" xfId="0" applyFont="1"/>
    <xf numFmtId="0" fontId="0" fillId="0" borderId="1" xfId="0" applyBorder="1"/>
    <xf numFmtId="0" fontId="11" fillId="0" borderId="11" xfId="0" applyFont="1" applyBorder="1"/>
    <xf numFmtId="0" fontId="0" fillId="0" borderId="1" xfId="0" applyBorder="1" applyAlignment="1">
      <alignment horizontal="center"/>
    </xf>
    <xf numFmtId="0" fontId="0" fillId="6" borderId="0" xfId="0" applyFill="1" applyAlignment="1">
      <alignment horizontal="left" wrapText="1"/>
    </xf>
    <xf numFmtId="0" fontId="5" fillId="6" borderId="0" xfId="0" applyFont="1" applyFill="1" applyAlignment="1">
      <alignment horizontal="left" wrapText="1"/>
    </xf>
    <xf numFmtId="0" fontId="11" fillId="0" borderId="0" xfId="0" applyFont="1" applyAlignment="1">
      <alignment horizontal="center"/>
    </xf>
    <xf numFmtId="0" fontId="11" fillId="0" borderId="6" xfId="0" applyFont="1" applyBorder="1"/>
    <xf numFmtId="0" fontId="0" fillId="0" borderId="3" xfId="0" applyBorder="1" applyAlignment="1">
      <alignment horizontal="center" vertical="center" textRotation="90"/>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1" fillId="0" borderId="0" xfId="1" applyFill="1" applyBorder="1" applyAlignment="1">
      <alignment horizontal="center" vertical="top" wrapText="1"/>
    </xf>
    <xf numFmtId="0" fontId="11" fillId="0" borderId="6" xfId="0" applyFont="1" applyBorder="1" applyAlignment="1">
      <alignment horizontal="center"/>
    </xf>
    <xf numFmtId="0" fontId="2" fillId="0" borderId="2" xfId="0" applyFont="1" applyBorder="1" applyAlignment="1">
      <alignment horizontal="center" vertical="top" wrapText="1"/>
    </xf>
    <xf numFmtId="0" fontId="10" fillId="3" borderId="6" xfId="0" applyFont="1" applyFill="1" applyBorder="1" applyAlignment="1">
      <alignment horizontal="left" vertical="top" wrapText="1"/>
    </xf>
    <xf numFmtId="0" fontId="10" fillId="3" borderId="0" xfId="0" applyFont="1" applyFill="1" applyAlignment="1">
      <alignment horizontal="left" vertical="top" wrapText="1"/>
    </xf>
    <xf numFmtId="0" fontId="10" fillId="3" borderId="3" xfId="0" applyFont="1" applyFill="1" applyBorder="1" applyAlignment="1">
      <alignment horizontal="left" vertical="top" wrapText="1"/>
    </xf>
    <xf numFmtId="0" fontId="10" fillId="7" borderId="6"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3" xfId="0" applyFont="1" applyFill="1" applyBorder="1" applyAlignment="1">
      <alignment horizontal="left" vertical="top" wrapText="1"/>
    </xf>
    <xf numFmtId="0" fontId="10" fillId="6" borderId="6" xfId="0" applyFont="1" applyFill="1" applyBorder="1" applyAlignment="1">
      <alignment horizontal="left" vertical="top" wrapText="1"/>
    </xf>
    <xf numFmtId="0" fontId="10" fillId="6" borderId="0" xfId="0" applyFont="1" applyFill="1" applyAlignment="1">
      <alignment horizontal="left" vertical="top" wrapText="1"/>
    </xf>
    <xf numFmtId="0" fontId="10" fillId="6" borderId="3" xfId="0" applyFont="1" applyFill="1" applyBorder="1" applyAlignment="1">
      <alignment horizontal="left" vertical="top" wrapText="1"/>
    </xf>
    <xf numFmtId="0" fontId="10" fillId="5" borderId="6"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3" xfId="0" applyFont="1" applyFill="1" applyBorder="1" applyAlignment="1">
      <alignment horizontal="left" vertical="top" wrapText="1"/>
    </xf>
    <xf numFmtId="0" fontId="10" fillId="2" borderId="6"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3" xfId="0" applyFont="1" applyFill="1" applyBorder="1" applyAlignment="1">
      <alignment horizontal="center" vertical="top" wrapText="1"/>
    </xf>
    <xf numFmtId="0" fontId="10" fillId="4" borderId="6" xfId="0" applyFont="1" applyFill="1" applyBorder="1" applyAlignment="1">
      <alignment horizontal="left" vertical="top" wrapText="1"/>
    </xf>
    <xf numFmtId="0" fontId="10" fillId="4" borderId="0" xfId="0" applyFont="1" applyFill="1" applyAlignment="1">
      <alignment horizontal="left" vertical="top" wrapText="1"/>
    </xf>
    <xf numFmtId="0" fontId="10" fillId="4" borderId="3" xfId="0" applyFont="1" applyFill="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9" fillId="0" borderId="0" xfId="0" applyFont="1" applyAlignment="1">
      <alignment horizontal="center" vertical="top" wrapText="1"/>
    </xf>
    <xf numFmtId="0" fontId="9" fillId="0" borderId="2" xfId="0" applyFont="1" applyBorder="1" applyAlignment="1">
      <alignment horizontal="left" vertical="top" wrapText="1"/>
    </xf>
    <xf numFmtId="0" fontId="9" fillId="0" borderId="0" xfId="0" applyFont="1" applyAlignment="1">
      <alignment horizontal="left" vertical="top" wrapText="1"/>
    </xf>
    <xf numFmtId="0" fontId="3" fillId="0" borderId="1" xfId="0" applyFont="1" applyBorder="1" applyAlignment="1">
      <alignment horizontal="center" vertical="top" wrapText="1"/>
    </xf>
    <xf numFmtId="0" fontId="3" fillId="0" borderId="0" xfId="0" applyFont="1" applyAlignment="1">
      <alignment horizontal="left" vertical="top" wrapText="1"/>
    </xf>
    <xf numFmtId="0" fontId="9" fillId="0" borderId="1" xfId="0" applyFont="1" applyBorder="1" applyAlignment="1">
      <alignment horizontal="center" vertical="top" wrapText="1"/>
    </xf>
    <xf numFmtId="0" fontId="2" fillId="0" borderId="1" xfId="0" applyFont="1" applyBorder="1" applyAlignment="1">
      <alignment horizontal="left" vertical="top" wrapText="1"/>
    </xf>
    <xf numFmtId="0" fontId="9" fillId="0" borderId="2" xfId="0" applyFont="1" applyBorder="1" applyAlignment="1">
      <alignment horizontal="center" vertical="top" wrapText="1"/>
    </xf>
    <xf numFmtId="0" fontId="9" fillId="0" borderId="1" xfId="0" applyFont="1" applyBorder="1" applyAlignment="1">
      <alignment horizontal="left" vertical="top" wrapText="1"/>
    </xf>
    <xf numFmtId="0" fontId="1" fillId="0" borderId="0" xfId="1" applyBorder="1" applyAlignment="1">
      <alignment horizontal="left" vertical="top" wrapText="1"/>
    </xf>
    <xf numFmtId="0" fontId="4" fillId="0" borderId="0" xfId="1" applyFont="1" applyFill="1" applyBorder="1" applyAlignment="1">
      <alignment horizontal="left" vertical="top" wrapText="1"/>
    </xf>
    <xf numFmtId="0" fontId="3" fillId="0" borderId="0" xfId="0" applyFont="1" applyAlignment="1">
      <alignment horizontal="center" vertical="top" wrapText="1"/>
    </xf>
    <xf numFmtId="0" fontId="5" fillId="5" borderId="0" xfId="0" applyFont="1" applyFill="1" applyAlignment="1">
      <alignment horizontal="center" wrapText="1"/>
    </xf>
    <xf numFmtId="0" fontId="5" fillId="5" borderId="1" xfId="0" applyFont="1" applyFill="1" applyBorder="1" applyAlignment="1">
      <alignment horizontal="center" wrapText="1"/>
    </xf>
    <xf numFmtId="0" fontId="5" fillId="6" borderId="2" xfId="0" applyFont="1" applyFill="1" applyBorder="1" applyAlignment="1">
      <alignment horizontal="center" wrapText="1"/>
    </xf>
    <xf numFmtId="0" fontId="5" fillId="6" borderId="0" xfId="0" applyFont="1" applyFill="1" applyAlignment="1">
      <alignment horizontal="center" wrapText="1"/>
    </xf>
    <xf numFmtId="0" fontId="5" fillId="6" borderId="1" xfId="0" applyFont="1" applyFill="1" applyBorder="1" applyAlignment="1">
      <alignment horizontal="center" wrapText="1"/>
    </xf>
    <xf numFmtId="0" fontId="5" fillId="2" borderId="0" xfId="0" applyFont="1" applyFill="1" applyAlignment="1">
      <alignment horizontal="center" wrapText="1"/>
    </xf>
    <xf numFmtId="0" fontId="5" fillId="2" borderId="1" xfId="0" applyFont="1" applyFill="1" applyBorder="1" applyAlignment="1">
      <alignment horizontal="center" wrapText="1"/>
    </xf>
    <xf numFmtId="0" fontId="4" fillId="0" borderId="0" xfId="1" applyFont="1" applyFill="1" applyBorder="1" applyAlignment="1">
      <alignment horizontal="center" vertical="top" wrapText="1"/>
    </xf>
    <xf numFmtId="0" fontId="5" fillId="3" borderId="0" xfId="0" applyFont="1" applyFill="1" applyAlignment="1">
      <alignment horizontal="center" wrapText="1"/>
    </xf>
    <xf numFmtId="0" fontId="5" fillId="4" borderId="2" xfId="0" applyFont="1" applyFill="1" applyBorder="1" applyAlignment="1">
      <alignment horizontal="center" wrapText="1"/>
    </xf>
    <xf numFmtId="0" fontId="5" fillId="4" borderId="0" xfId="0" applyFont="1" applyFill="1" applyAlignment="1">
      <alignment horizontal="center" wrapText="1"/>
    </xf>
    <xf numFmtId="0" fontId="5" fillId="4" borderId="1" xfId="0" applyFont="1" applyFill="1" applyBorder="1" applyAlignment="1">
      <alignment horizontal="center" wrapText="1"/>
    </xf>
    <xf numFmtId="0" fontId="0" fillId="0" borderId="0" xfId="0" applyAlignment="1">
      <alignment horizontal="center" vertical="center" textRotation="180"/>
    </xf>
    <xf numFmtId="0" fontId="0" fillId="0" borderId="3" xfId="0" applyBorder="1" applyAlignment="1">
      <alignment horizontal="center" vertical="center" textRotation="180"/>
    </xf>
    <xf numFmtId="0" fontId="0" fillId="0" borderId="6" xfId="0" applyBorder="1" applyAlignment="1">
      <alignment horizontal="center" vertical="center" textRotation="180"/>
    </xf>
    <xf numFmtId="0" fontId="0" fillId="0" borderId="6" xfId="0" applyBorder="1" applyAlignment="1">
      <alignment horizontal="center" vertical="center" textRotation="180" wrapText="1"/>
    </xf>
    <xf numFmtId="0" fontId="0" fillId="0" borderId="0" xfId="0" applyAlignment="1">
      <alignment horizontal="center" vertical="center" textRotation="180" wrapText="1"/>
    </xf>
    <xf numFmtId="0" fontId="0" fillId="0" borderId="3" xfId="0" applyBorder="1" applyAlignment="1">
      <alignment horizontal="center" vertical="center" textRotation="180" wrapText="1"/>
    </xf>
    <xf numFmtId="0" fontId="0" fillId="0" borderId="10" xfId="0" applyBorder="1" applyAlignment="1">
      <alignment horizontal="center" vertical="center" textRotation="180"/>
    </xf>
    <xf numFmtId="0" fontId="0" fillId="0" borderId="0" xfId="0" applyAlignment="1">
      <alignment horizontal="center"/>
    </xf>
    <xf numFmtId="0" fontId="0" fillId="0" borderId="0" xfId="0" applyAlignment="1">
      <alignment horizontal="center" vertical="center" textRotation="90"/>
    </xf>
    <xf numFmtId="0" fontId="1" fillId="0" borderId="0" xfId="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Veronika Potter" id="{9EE02FDE-17DB-9548-B312-C5EAED5979E3}" userId="S::potter.v@northeastern.edu::541ff496-bf4b-4463-ab27-af1348e9d2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5" dT="2026-07-16T12:14:30.57" personId="{9EE02FDE-17DB-9548-B312-C5EAED5979E3}" id="{BC976E64-D479-A142-8C5D-9F319F6D67E1}">
    <text>I have no idea what this 0 is or where is it coming from.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DA032C-1666-49D9-A04B-5850E11FB73B}">
  <we:reference id="WA200010725" version="1.0.0.1" store="en-us" storeType="omex"/>
  <we:alternateReferences>
    <we:reference id="WA200010725" version="1.0.0.1" store="en-us" storeType="omex"/>
  </we:alternateReferences>
  <we:properties>
    <we:property name="claude.fileId" value="&quot;ce29dcb1-6c58-43ef-b492-66223c6efe9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6" Type="http://schemas.openxmlformats.org/officeDocument/2006/relationships/hyperlink" Target="https://doi.org/10.1016/j.micpro.2021.104371" TargetMode="External"/><Relationship Id="rId21" Type="http://schemas.openxmlformats.org/officeDocument/2006/relationships/hyperlink" Target="https://doi.org/10.1109/JSEN.2021.3089579" TargetMode="External"/><Relationship Id="rId42" Type="http://schemas.openxmlformats.org/officeDocument/2006/relationships/hyperlink" Target="https://github.com/dmbee/fcn-core" TargetMode="External"/><Relationship Id="rId47" Type="http://schemas.openxmlformats.org/officeDocument/2006/relationships/hyperlink" Target="https://doi.org/10.1109/IEMCON53756.2021.9623228" TargetMode="External"/><Relationship Id="rId63" Type="http://schemas.openxmlformats.org/officeDocument/2006/relationships/hyperlink" Target="https://doi.org/10.4108/icst.bodynets.2013.253623" TargetMode="External"/><Relationship Id="rId68" Type="http://schemas.openxmlformats.org/officeDocument/2006/relationships/hyperlink" Target="https://doi.org/10.1109/COINS57856.2023.10189270" TargetMode="External"/><Relationship Id="rId84" Type="http://schemas.openxmlformats.org/officeDocument/2006/relationships/hyperlink" Target="https://doi.org/10.1109/PERCOM.2016.7456521" TargetMode="External"/><Relationship Id="rId89" Type="http://schemas.openxmlformats.org/officeDocument/2006/relationships/hyperlink" Target="https://doi.org/10.3390/s21103352" TargetMode="External"/><Relationship Id="rId16" Type="http://schemas.openxmlformats.org/officeDocument/2006/relationships/hyperlink" Target="https://doi.org/10.1145/3380985" TargetMode="External"/><Relationship Id="rId11" Type="http://schemas.openxmlformats.org/officeDocument/2006/relationships/hyperlink" Target="https://doi.org/10.1145/3503161.3551598" TargetMode="External"/><Relationship Id="rId32" Type="http://schemas.openxmlformats.org/officeDocument/2006/relationships/hyperlink" Target="https://github.com/sztyler/sensorfeatureextraction" TargetMode="External"/><Relationship Id="rId37" Type="http://schemas.openxmlformats.org/officeDocument/2006/relationships/hyperlink" Target="https://doi.org/10.1109/SSCI.2015.52" TargetMode="External"/><Relationship Id="rId53" Type="http://schemas.openxmlformats.org/officeDocument/2006/relationships/hyperlink" Target="https://doi.org/10.1109/IECBES.2016.7843493" TargetMode="External"/><Relationship Id="rId58" Type="http://schemas.openxmlformats.org/officeDocument/2006/relationships/hyperlink" Target="https://doi.org/10.1109/SWC50871.2021.00014" TargetMode="External"/><Relationship Id="rId74" Type="http://schemas.openxmlformats.org/officeDocument/2006/relationships/hyperlink" Target="https://repository.library.northeastern.edu/collections/neu:cn69m462g" TargetMode="External"/><Relationship Id="rId79" Type="http://schemas.openxmlformats.org/officeDocument/2006/relationships/hyperlink" Target="https://doi.org/10.1109/FSKD.2017.8393329" TargetMode="External"/><Relationship Id="rId5" Type="http://schemas.openxmlformats.org/officeDocument/2006/relationships/hyperlink" Target="https://doi.org/10.3390/s21216997" TargetMode="External"/><Relationship Id="rId90" Type="http://schemas.openxmlformats.org/officeDocument/2006/relationships/hyperlink" Target="https://doi.org/10.1109/INDIN45582.2020.9442172" TargetMode="External"/><Relationship Id="rId22" Type="http://schemas.openxmlformats.org/officeDocument/2006/relationships/hyperlink" Target="https://doi.org/10.1016/j.smhl.2023.100431" TargetMode="External"/><Relationship Id="rId27" Type="http://schemas.openxmlformats.org/officeDocument/2006/relationships/hyperlink" Target="https://doi.org/10.1109/TCSI.2020.3011984" TargetMode="External"/><Relationship Id="rId43" Type="http://schemas.openxmlformats.org/officeDocument/2006/relationships/hyperlink" Target="https://doi.org/10.3390/s22208060" TargetMode="External"/><Relationship Id="rId48" Type="http://schemas.openxmlformats.org/officeDocument/2006/relationships/hyperlink" Target="https://ieeexplore.ieee.org/author/37088595154" TargetMode="External"/><Relationship Id="rId64" Type="http://schemas.openxmlformats.org/officeDocument/2006/relationships/hyperlink" Target="https://doi.org/10.3390/s21196677" TargetMode="External"/><Relationship Id="rId69" Type="http://schemas.openxmlformats.org/officeDocument/2006/relationships/hyperlink" Target="https://doi.org/10.1109/CHASE52844.2021.00019" TargetMode="External"/><Relationship Id="rId8" Type="http://schemas.openxmlformats.org/officeDocument/2006/relationships/hyperlink" Target="https://doi.org/10.1109/DCOSS54816.2022.00017" TargetMode="External"/><Relationship Id="rId51" Type="http://schemas.openxmlformats.org/officeDocument/2006/relationships/hyperlink" Target="https://doi.org/10.3390/s20164364" TargetMode="External"/><Relationship Id="rId72" Type="http://schemas.openxmlformats.org/officeDocument/2006/relationships/hyperlink" Target="https://doi.org/10.1016/j.inffus.2017.01.004" TargetMode="External"/><Relationship Id="rId80" Type="http://schemas.openxmlformats.org/officeDocument/2006/relationships/hyperlink" Target="https://doi.org/10.3390/s19163468" TargetMode="External"/><Relationship Id="rId85" Type="http://schemas.openxmlformats.org/officeDocument/2006/relationships/hyperlink" Target="https://github.com/sztyler/sensorfeatureextraction" TargetMode="External"/><Relationship Id="rId93" Type="http://schemas.openxmlformats.org/officeDocument/2006/relationships/hyperlink" Target="https://github.com/alokchy04/Decision-Fused-Ensembles-for-PA-Classification-from-Wrist-Worn-Accelerometer/tree/master/FET" TargetMode="External"/><Relationship Id="rId3" Type="http://schemas.openxmlformats.org/officeDocument/2006/relationships/hyperlink" Target="https://doi.org/10.1016/j.ijmedinf.2023.105004" TargetMode="External"/><Relationship Id="rId12" Type="http://schemas.openxmlformats.org/officeDocument/2006/relationships/hyperlink" Target="https://doi.org/10.3390/s22197482" TargetMode="External"/><Relationship Id="rId17" Type="http://schemas.openxmlformats.org/officeDocument/2006/relationships/hyperlink" Target="https://doi.org/10.1109/RI2C60382.2023.10356022" TargetMode="External"/><Relationship Id="rId25" Type="http://schemas.openxmlformats.org/officeDocument/2006/relationships/hyperlink" Target="https://doi.org/10.1109/DSD51259.2020.00057" TargetMode="External"/><Relationship Id="rId33" Type="http://schemas.openxmlformats.org/officeDocument/2006/relationships/hyperlink" Target="https://doi.org/10.3390/s18072146" TargetMode="External"/><Relationship Id="rId38" Type="http://schemas.openxmlformats.org/officeDocument/2006/relationships/hyperlink" Target="https://doi.org/10.1109/AQTR55203.2022.9801919" TargetMode="External"/><Relationship Id="rId46" Type="http://schemas.openxmlformats.org/officeDocument/2006/relationships/hyperlink" Target="https://ieeexplore.ieee.org/xpl/conhome/9623060/proceeding" TargetMode="External"/><Relationship Id="rId59" Type="http://schemas.openxmlformats.org/officeDocument/2006/relationships/hyperlink" Target="https://doi.org/10.3390/s18113893" TargetMode="External"/><Relationship Id="rId67" Type="http://schemas.openxmlformats.org/officeDocument/2006/relationships/hyperlink" Target="https://archive.ics.uci.edu/dataset/521/selfback" TargetMode="External"/><Relationship Id="rId20" Type="http://schemas.openxmlformats.org/officeDocument/2006/relationships/hyperlink" Target="https://doi.org/10.1109/JSEN.2021.3113908" TargetMode="External"/><Relationship Id="rId41" Type="http://schemas.openxmlformats.org/officeDocument/2006/relationships/hyperlink" Target="https://doi.org/10.3390/s22145222" TargetMode="External"/><Relationship Id="rId54" Type="http://schemas.openxmlformats.org/officeDocument/2006/relationships/hyperlink" Target="https://doi.org/10.1145/2674396.2674446" TargetMode="External"/><Relationship Id="rId62" Type="http://schemas.openxmlformats.org/officeDocument/2006/relationships/hyperlink" Target="https://doi.org/10.1109/EMBC44109.2020.9176201" TargetMode="External"/><Relationship Id="rId70" Type="http://schemas.openxmlformats.org/officeDocument/2006/relationships/hyperlink" Target="https://doi.org/10.1109/ISIE.2009.5222001" TargetMode="External"/><Relationship Id="rId75" Type="http://schemas.openxmlformats.org/officeDocument/2006/relationships/hyperlink" Target="https://doi.org/10.1016/j.inffus.2023.102197" TargetMode="External"/><Relationship Id="rId83" Type="http://schemas.openxmlformats.org/officeDocument/2006/relationships/hyperlink" Target="https://doi.org/10.1109/JSYST.2022.3153503" TargetMode="External"/><Relationship Id="rId88" Type="http://schemas.openxmlformats.org/officeDocument/2006/relationships/hyperlink" Target="https://doi.org/10.3390/s18020613" TargetMode="External"/><Relationship Id="rId91" Type="http://schemas.openxmlformats.org/officeDocument/2006/relationships/hyperlink" Target="https://doi.org/10.3390/s23042278" TargetMode="External"/><Relationship Id="rId1" Type="http://schemas.openxmlformats.org/officeDocument/2006/relationships/hyperlink" Target="https://doi.org/10.3390/s17030529" TargetMode="External"/><Relationship Id="rId6" Type="http://schemas.openxmlformats.org/officeDocument/2006/relationships/hyperlink" Target="https://doi.org/10.1109/JIOT.2015.2389335" TargetMode="External"/><Relationship Id="rId15" Type="http://schemas.openxmlformats.org/officeDocument/2006/relationships/hyperlink" Target="https://doi.org/10.1016/j.engappai.2018.04.002" TargetMode="External"/><Relationship Id="rId23" Type="http://schemas.openxmlformats.org/officeDocument/2006/relationships/hyperlink" Target="https://cloud.ilabt.imec.be/index.php/s/2zkXxEDTTQgkN5y" TargetMode="External"/><Relationship Id="rId28" Type="http://schemas.openxmlformats.org/officeDocument/2006/relationships/hyperlink" Target="https://doi.org/10.3390/s23135845" TargetMode="External"/><Relationship Id="rId36" Type="http://schemas.openxmlformats.org/officeDocument/2006/relationships/hyperlink" Target="https://github.com/OxWearables/ssl-wearables?tab=readme-ov-file" TargetMode="External"/><Relationship Id="rId49" Type="http://schemas.openxmlformats.org/officeDocument/2006/relationships/hyperlink" Target="https://doi.org/10.3390/s24144444" TargetMode="External"/><Relationship Id="rId57" Type="http://schemas.openxmlformats.org/officeDocument/2006/relationships/hyperlink" Target="https://mhealth.jmir.org/search?term=Anis%20Davoudi&amp;type=author&amp;precise=true&amp;authorlink=true" TargetMode="External"/><Relationship Id="rId10" Type="http://schemas.openxmlformats.org/officeDocument/2006/relationships/hyperlink" Target="https://doi.org/10.1109/EMBC.2019.8857288" TargetMode="External"/><Relationship Id="rId31" Type="http://schemas.openxmlformats.org/officeDocument/2006/relationships/hyperlink" Target="https://doi.org/10.1109/ICOS.2018.8632818" TargetMode="External"/><Relationship Id="rId44" Type="http://schemas.openxmlformats.org/officeDocument/2006/relationships/hyperlink" Target="https://doi.org/10.1109/RI2C51727.2021.9559773" TargetMode="External"/><Relationship Id="rId52" Type="http://schemas.openxmlformats.org/officeDocument/2006/relationships/hyperlink" Target="https://github.com/QUTcparg/PS_PAClassification" TargetMode="External"/><Relationship Id="rId60" Type="http://schemas.openxmlformats.org/officeDocument/2006/relationships/hyperlink" Target="https://doi.org/10.1109/CVPRW.2018.00075" TargetMode="External"/><Relationship Id="rId65" Type="http://schemas.openxmlformats.org/officeDocument/2006/relationships/hyperlink" Target="https://doi.org/10.1145/3014812.3014875" TargetMode="External"/><Relationship Id="rId73" Type="http://schemas.openxmlformats.org/officeDocument/2006/relationships/hyperlink" Target="https://doi.org/10.1109/BHI.2016.7455925" TargetMode="External"/><Relationship Id="rId78" Type="http://schemas.openxmlformats.org/officeDocument/2006/relationships/hyperlink" Target="https://github.com/zhangzhao156/Human-Activity-Recognition-Codes-Datasets" TargetMode="External"/><Relationship Id="rId81" Type="http://schemas.openxmlformats.org/officeDocument/2006/relationships/hyperlink" Target="https://doi.org/10.1109/ACCESS.2021.3100580" TargetMode="External"/><Relationship Id="rId86" Type="http://schemas.openxmlformats.org/officeDocument/2006/relationships/hyperlink" Target="https://cs.au.dk/~allans/heterogenity/" TargetMode="External"/><Relationship Id="rId4" Type="http://schemas.openxmlformats.org/officeDocument/2006/relationships/hyperlink" Target="https://doi.org/10.3390/s20071858" TargetMode="External"/><Relationship Id="rId9" Type="http://schemas.openxmlformats.org/officeDocument/2006/relationships/hyperlink" Target="https://doi.org/10.3390/s16060800" TargetMode="External"/><Relationship Id="rId13" Type="http://schemas.openxmlformats.org/officeDocument/2006/relationships/hyperlink" Target="https://doi.org/10.1145/3460421.3480419" TargetMode="External"/><Relationship Id="rId18" Type="http://schemas.openxmlformats.org/officeDocument/2006/relationships/hyperlink" Target="https://doi.org/10.1016/j.jbi.2022.104180" TargetMode="External"/><Relationship Id="rId39" Type="http://schemas.openxmlformats.org/officeDocument/2006/relationships/hyperlink" Target="https://doi.org/10.1145/3494994" TargetMode="External"/><Relationship Id="rId34" Type="http://schemas.openxmlformats.org/officeDocument/2006/relationships/hyperlink" Target="https://dl.acm.org/doi/abs/10.5555/3234847.3234868" TargetMode="External"/><Relationship Id="rId50" Type="http://schemas.openxmlformats.org/officeDocument/2006/relationships/hyperlink" Target="https://doi.org/10.3390/s20143976" TargetMode="External"/><Relationship Id="rId55" Type="http://schemas.openxmlformats.org/officeDocument/2006/relationships/hyperlink" Target="https://doi.org/10.1016/j.compbiomed.2021.104633" TargetMode="External"/><Relationship Id="rId76" Type="http://schemas.openxmlformats.org/officeDocument/2006/relationships/hyperlink" Target="https://doi.org/10.1016/j.eswa.2024.125947" TargetMode="External"/><Relationship Id="rId7" Type="http://schemas.openxmlformats.org/officeDocument/2006/relationships/hyperlink" Target="https://doi.org/10.1109/ICITEE59582.2023.10317707" TargetMode="External"/><Relationship Id="rId71" Type="http://schemas.openxmlformats.org/officeDocument/2006/relationships/hyperlink" Target="https://doi.org/10.3390/s20061655" TargetMode="External"/><Relationship Id="rId92" Type="http://schemas.openxmlformats.org/officeDocument/2006/relationships/hyperlink" Target="http://www.pr.informatik.uni-siegen.de/en/human-activity-recognition" TargetMode="External"/><Relationship Id="rId2" Type="http://schemas.openxmlformats.org/officeDocument/2006/relationships/hyperlink" Target="https://doi.org/10.1016/j.eswa.2012.01.164" TargetMode="External"/><Relationship Id="rId29" Type="http://schemas.openxmlformats.org/officeDocument/2006/relationships/hyperlink" Target="https://doi.org/10.1145/3410531.3414311" TargetMode="External"/><Relationship Id="rId24" Type="http://schemas.openxmlformats.org/officeDocument/2006/relationships/hyperlink" Target="https://doi.org/10.3390/s23104606" TargetMode="External"/><Relationship Id="rId40" Type="http://schemas.openxmlformats.org/officeDocument/2006/relationships/hyperlink" Target="https://doi.org/10.1109/EMBC46164.2021.9630462" TargetMode="External"/><Relationship Id="rId45" Type="http://schemas.openxmlformats.org/officeDocument/2006/relationships/hyperlink" Target="https://doi.org/10.1109/JSEN.2023.3338264" TargetMode="External"/><Relationship Id="rId66" Type="http://schemas.openxmlformats.org/officeDocument/2006/relationships/hyperlink" Target="https://doi.org/10.3390/s17040774" TargetMode="External"/><Relationship Id="rId87" Type="http://schemas.openxmlformats.org/officeDocument/2006/relationships/hyperlink" Target="https://doi.org/10.1016/j.pmcj.2019.03.006" TargetMode="External"/><Relationship Id="rId61" Type="http://schemas.openxmlformats.org/officeDocument/2006/relationships/hyperlink" Target="https://doi.org/10.1109/WETICE53228.2021.00039" TargetMode="External"/><Relationship Id="rId82" Type="http://schemas.openxmlformats.org/officeDocument/2006/relationships/hyperlink" Target="https://doi.org/10.1109/CSE-EUC.2017.148" TargetMode="External"/><Relationship Id="rId19" Type="http://schemas.openxmlformats.org/officeDocument/2006/relationships/hyperlink" Target="https://doi.org/10.1109/JBHI.2018.2869779" TargetMode="External"/><Relationship Id="rId14" Type="http://schemas.openxmlformats.org/officeDocument/2006/relationships/hyperlink" Target="https://doi.org/10.3390/s24041238" TargetMode="External"/><Relationship Id="rId30" Type="http://schemas.openxmlformats.org/officeDocument/2006/relationships/hyperlink" Target="https://doi.org/10.1016/j.patrec.2016.01.001" TargetMode="External"/><Relationship Id="rId35" Type="http://schemas.openxmlformats.org/officeDocument/2006/relationships/hyperlink" Target="https://github.com/IRC-SPHERE/embedded-features" TargetMode="External"/><Relationship Id="rId56" Type="http://schemas.openxmlformats.org/officeDocument/2006/relationships/hyperlink" Target="https://doi.org/10.3390/s130709183" TargetMode="External"/><Relationship Id="rId77" Type="http://schemas.openxmlformats.org/officeDocument/2006/relationships/hyperlink" Target="https://doi.org/10.1109/ACCESS.2019.2920969"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CC16E-3091-8A4E-A4D3-7401EA002C08}">
  <dimension ref="A1:AW187"/>
  <sheetViews>
    <sheetView tabSelected="1" zoomScale="110" zoomScaleNormal="70" workbookViewId="0">
      <pane xSplit="3" ySplit="2" topLeftCell="D158" activePane="bottomRight" state="frozen"/>
      <selection pane="topRight" activeCell="D1" sqref="D1"/>
      <selection pane="bottomLeft" activeCell="A3" sqref="A3"/>
      <selection pane="bottomRight" activeCell="E160" sqref="E160"/>
    </sheetView>
  </sheetViews>
  <sheetFormatPr baseColWidth="10" defaultColWidth="11" defaultRowHeight="16" x14ac:dyDescent="0.2"/>
  <cols>
    <col min="1" max="1" width="24.1640625" style="71" customWidth="1"/>
    <col min="3" max="3" width="45.1640625" customWidth="1"/>
    <col min="4" max="4" width="34.1640625" customWidth="1"/>
    <col min="5" max="5" width="19.1640625" customWidth="1"/>
    <col min="8" max="8" width="17.6640625" customWidth="1"/>
    <col min="9" max="9" width="10.83203125" style="5"/>
    <col min="11" max="11" width="10.83203125" style="5" customWidth="1"/>
    <col min="12" max="12" width="10.83203125" style="5"/>
    <col min="13" max="13" width="20.1640625" customWidth="1"/>
    <col min="14" max="14" width="12.6640625" style="5" customWidth="1"/>
    <col min="15" max="15" width="49.5" customWidth="1"/>
    <col min="16" max="16" width="23.83203125" customWidth="1"/>
    <col min="17" max="17" width="10.83203125" style="5"/>
    <col min="18" max="18" width="11.1640625" style="5" customWidth="1"/>
    <col min="19" max="19" width="37.6640625" customWidth="1"/>
    <col min="20" max="20" width="32.33203125" customWidth="1"/>
    <col min="21" max="21" width="10.83203125" style="5"/>
    <col min="22" max="22" width="30.6640625" customWidth="1"/>
    <col min="23" max="23" width="17.83203125" style="5" customWidth="1"/>
    <col min="24" max="24" width="18.1640625" customWidth="1"/>
    <col min="25" max="25" width="11.5" style="5" customWidth="1"/>
    <col min="26" max="26" width="83.33203125" customWidth="1"/>
    <col min="27" max="28" width="10.83203125" style="5"/>
    <col min="29" max="29" width="13.6640625" customWidth="1"/>
    <col min="31" max="31" width="15.5" customWidth="1"/>
    <col min="32" max="32" width="13.33203125" style="5" customWidth="1"/>
    <col min="33" max="33" width="15.1640625" style="5" customWidth="1"/>
    <col min="34" max="34" width="18.5" style="5" customWidth="1"/>
    <col min="35" max="35" width="17.33203125" style="5" customWidth="1"/>
    <col min="36" max="36" width="10.83203125" style="5"/>
    <col min="37" max="37" width="14.5" style="5" customWidth="1"/>
    <col min="38" max="38" width="14.83203125" style="5" customWidth="1"/>
    <col min="39" max="39" width="13.33203125" style="5" customWidth="1"/>
    <col min="40" max="41" width="18.5" style="5" customWidth="1"/>
    <col min="42" max="42" width="16.5" style="5" customWidth="1"/>
    <col min="43" max="43" width="20" style="5" customWidth="1"/>
    <col min="44" max="44" width="21.83203125" customWidth="1"/>
  </cols>
  <sheetData>
    <row r="1" spans="1:49" x14ac:dyDescent="0.2">
      <c r="A1" s="133" t="s">
        <v>0</v>
      </c>
      <c r="B1" s="133"/>
      <c r="C1" s="133"/>
      <c r="D1" s="133"/>
      <c r="E1" s="133"/>
      <c r="F1" s="133"/>
      <c r="G1" s="134"/>
      <c r="H1" s="136" t="s">
        <v>1</v>
      </c>
      <c r="I1" s="136"/>
      <c r="J1" s="136"/>
      <c r="K1" s="136"/>
      <c r="L1" s="136"/>
      <c r="M1" s="136"/>
      <c r="N1" s="136"/>
      <c r="O1" s="136"/>
      <c r="P1" s="136"/>
      <c r="Q1" s="136"/>
      <c r="R1" s="136"/>
      <c r="S1" s="136"/>
      <c r="T1" s="136"/>
      <c r="U1" s="136"/>
      <c r="V1" s="137" t="s">
        <v>2</v>
      </c>
      <c r="W1" s="138"/>
      <c r="X1" s="138"/>
      <c r="Y1" s="138"/>
      <c r="Z1" s="138"/>
      <c r="AA1" s="138"/>
      <c r="AB1" s="139"/>
      <c r="AC1" s="128" t="s">
        <v>3</v>
      </c>
      <c r="AD1" s="128"/>
      <c r="AE1" s="128"/>
      <c r="AF1" s="128"/>
      <c r="AG1" s="128"/>
      <c r="AH1" s="128"/>
      <c r="AI1" s="129"/>
      <c r="AJ1" s="130" t="s">
        <v>4</v>
      </c>
      <c r="AK1" s="131"/>
      <c r="AL1" s="131"/>
      <c r="AM1" s="131"/>
      <c r="AN1" s="131"/>
      <c r="AO1" s="131"/>
      <c r="AP1" s="131"/>
      <c r="AQ1" s="132"/>
      <c r="AR1" s="86"/>
    </row>
    <row r="2" spans="1:49" ht="64" x14ac:dyDescent="0.2">
      <c r="A2" s="22" t="s">
        <v>5</v>
      </c>
      <c r="B2" s="6" t="s">
        <v>6</v>
      </c>
      <c r="C2" s="6" t="s">
        <v>7</v>
      </c>
      <c r="D2" s="6" t="s">
        <v>8</v>
      </c>
      <c r="E2" s="6" t="s">
        <v>9</v>
      </c>
      <c r="F2" s="6" t="s">
        <v>10</v>
      </c>
      <c r="G2" s="7" t="s">
        <v>11</v>
      </c>
      <c r="H2" s="8" t="s">
        <v>12</v>
      </c>
      <c r="I2" s="24" t="s">
        <v>13</v>
      </c>
      <c r="J2" s="8" t="s">
        <v>14</v>
      </c>
      <c r="K2" s="24" t="s">
        <v>15</v>
      </c>
      <c r="L2" s="24" t="s">
        <v>16</v>
      </c>
      <c r="M2" s="8" t="s">
        <v>17</v>
      </c>
      <c r="N2" s="24" t="s">
        <v>18</v>
      </c>
      <c r="O2" s="8" t="s">
        <v>19</v>
      </c>
      <c r="P2" s="8" t="s">
        <v>20</v>
      </c>
      <c r="Q2" s="24" t="s">
        <v>21</v>
      </c>
      <c r="R2" s="24" t="s">
        <v>22</v>
      </c>
      <c r="S2" s="8" t="s">
        <v>23</v>
      </c>
      <c r="T2" s="8" t="s">
        <v>24</v>
      </c>
      <c r="U2" s="24" t="s">
        <v>25</v>
      </c>
      <c r="V2" s="9" t="s">
        <v>26</v>
      </c>
      <c r="W2" s="28" t="s">
        <v>27</v>
      </c>
      <c r="X2" s="10" t="s">
        <v>28</v>
      </c>
      <c r="Y2" s="28" t="s">
        <v>29</v>
      </c>
      <c r="Z2" s="10" t="s">
        <v>30</v>
      </c>
      <c r="AA2" s="28" t="s">
        <v>31</v>
      </c>
      <c r="AB2" s="29" t="s">
        <v>32</v>
      </c>
      <c r="AC2" s="11" t="s">
        <v>33</v>
      </c>
      <c r="AD2" s="11" t="s">
        <v>34</v>
      </c>
      <c r="AE2" s="11" t="s">
        <v>35</v>
      </c>
      <c r="AF2" s="30" t="s">
        <v>36</v>
      </c>
      <c r="AG2" s="30" t="s">
        <v>37</v>
      </c>
      <c r="AH2" s="30" t="s">
        <v>38</v>
      </c>
      <c r="AI2" s="31" t="s">
        <v>39</v>
      </c>
      <c r="AJ2" s="48" t="s">
        <v>40</v>
      </c>
      <c r="AK2" s="32" t="s">
        <v>41</v>
      </c>
      <c r="AL2" s="32" t="s">
        <v>42</v>
      </c>
      <c r="AM2" s="32" t="s">
        <v>43</v>
      </c>
      <c r="AN2" s="32" t="s">
        <v>44</v>
      </c>
      <c r="AO2" s="87" t="s">
        <v>45</v>
      </c>
      <c r="AP2" s="32" t="s">
        <v>46</v>
      </c>
      <c r="AQ2" s="33" t="s">
        <v>47</v>
      </c>
      <c r="AR2" s="87" t="s">
        <v>48</v>
      </c>
    </row>
    <row r="3" spans="1:49" ht="96" x14ac:dyDescent="0.2">
      <c r="A3" s="96" t="s">
        <v>49</v>
      </c>
      <c r="B3" s="42">
        <v>66</v>
      </c>
      <c r="C3" s="42" t="s">
        <v>50</v>
      </c>
      <c r="D3" s="42" t="s">
        <v>51</v>
      </c>
      <c r="E3" s="42" t="s">
        <v>52</v>
      </c>
      <c r="F3" s="42" t="s">
        <v>53</v>
      </c>
      <c r="G3" s="44">
        <v>2019</v>
      </c>
      <c r="H3" s="42" t="s">
        <v>54</v>
      </c>
      <c r="I3" s="46" t="s">
        <v>55</v>
      </c>
      <c r="J3" s="42"/>
      <c r="K3" s="46">
        <v>238</v>
      </c>
      <c r="L3" s="46">
        <v>8</v>
      </c>
      <c r="M3" s="42" t="s">
        <v>56</v>
      </c>
      <c r="N3" s="46">
        <v>10</v>
      </c>
      <c r="O3" s="42" t="s">
        <v>57</v>
      </c>
      <c r="P3" s="42" t="s">
        <v>58</v>
      </c>
      <c r="Q3" s="46" t="s">
        <v>59</v>
      </c>
      <c r="R3" s="46">
        <v>5</v>
      </c>
      <c r="S3" s="42" t="s">
        <v>60</v>
      </c>
      <c r="T3" s="42" t="s">
        <v>61</v>
      </c>
      <c r="U3" s="46" t="s">
        <v>55</v>
      </c>
      <c r="V3" s="45" t="s">
        <v>62</v>
      </c>
      <c r="W3" s="46" t="s">
        <v>63</v>
      </c>
      <c r="X3" s="42" t="s">
        <v>55</v>
      </c>
      <c r="Y3" s="46" t="s">
        <v>63</v>
      </c>
      <c r="Z3" s="42" t="s">
        <v>64</v>
      </c>
      <c r="AA3" s="46">
        <v>5</v>
      </c>
      <c r="AB3" s="47">
        <v>40</v>
      </c>
      <c r="AC3" s="42" t="s">
        <v>65</v>
      </c>
      <c r="AD3" s="42" t="s">
        <v>66</v>
      </c>
      <c r="AE3" s="42" t="s">
        <v>67</v>
      </c>
      <c r="AF3" s="46" t="s">
        <v>63</v>
      </c>
      <c r="AG3" s="46" t="s">
        <v>59</v>
      </c>
      <c r="AH3" s="46" t="s">
        <v>59</v>
      </c>
      <c r="AI3" s="47" t="s">
        <v>59</v>
      </c>
      <c r="AJ3" s="53" t="s">
        <v>59</v>
      </c>
      <c r="AK3" s="46"/>
      <c r="AL3" s="46" t="s">
        <v>59</v>
      </c>
      <c r="AM3" s="46" t="s">
        <v>59</v>
      </c>
      <c r="AN3" s="46" t="s">
        <v>68</v>
      </c>
      <c r="AO3" s="46"/>
      <c r="AP3" s="46" t="s">
        <v>59</v>
      </c>
      <c r="AQ3" s="47" t="s">
        <v>69</v>
      </c>
      <c r="AR3" s="1"/>
      <c r="AS3" t="str">
        <f>IF(AND(AP3="N", ISBLANK(AQ3)), "THIS", "")</f>
        <v/>
      </c>
      <c r="AU3" t="s">
        <v>63</v>
      </c>
      <c r="AV3" t="s">
        <v>69</v>
      </c>
      <c r="AW3" t="s">
        <v>68</v>
      </c>
    </row>
    <row r="4" spans="1:49" ht="64" x14ac:dyDescent="0.2">
      <c r="A4" s="97"/>
      <c r="B4" s="1">
        <v>94</v>
      </c>
      <c r="C4" s="1" t="s">
        <v>70</v>
      </c>
      <c r="D4" s="1" t="s">
        <v>51</v>
      </c>
      <c r="E4" s="1" t="s">
        <v>71</v>
      </c>
      <c r="F4" s="1" t="s">
        <v>72</v>
      </c>
      <c r="G4" s="3">
        <v>2020</v>
      </c>
      <c r="H4" s="1" t="s">
        <v>54</v>
      </c>
      <c r="I4" s="35" t="s">
        <v>55</v>
      </c>
      <c r="J4" s="1"/>
      <c r="K4" s="35">
        <v>238</v>
      </c>
      <c r="L4" s="35">
        <v>8</v>
      </c>
      <c r="M4" s="1" t="s">
        <v>73</v>
      </c>
      <c r="N4" s="35">
        <v>9</v>
      </c>
      <c r="O4" s="1" t="s">
        <v>74</v>
      </c>
      <c r="P4" s="1" t="s">
        <v>55</v>
      </c>
      <c r="Q4" s="35" t="s">
        <v>59</v>
      </c>
      <c r="R4" s="35">
        <v>4</v>
      </c>
      <c r="S4" s="1" t="s">
        <v>75</v>
      </c>
      <c r="T4" s="1" t="s">
        <v>76</v>
      </c>
      <c r="U4" s="35" t="s">
        <v>55</v>
      </c>
      <c r="V4" s="4" t="s">
        <v>77</v>
      </c>
      <c r="W4" s="35" t="s">
        <v>63</v>
      </c>
      <c r="X4" s="1" t="s">
        <v>55</v>
      </c>
      <c r="Y4" s="35" t="s">
        <v>63</v>
      </c>
      <c r="Z4" s="1" t="s">
        <v>78</v>
      </c>
      <c r="AA4" s="35">
        <v>3</v>
      </c>
      <c r="AB4" s="25">
        <v>66</v>
      </c>
      <c r="AC4" s="1" t="s">
        <v>79</v>
      </c>
      <c r="AD4" s="1" t="s">
        <v>66</v>
      </c>
      <c r="AE4" s="1" t="s">
        <v>80</v>
      </c>
      <c r="AF4" s="35" t="s">
        <v>63</v>
      </c>
      <c r="AG4" s="35" t="s">
        <v>59</v>
      </c>
      <c r="AH4" s="35" t="s">
        <v>59</v>
      </c>
      <c r="AI4" s="25" t="s">
        <v>59</v>
      </c>
      <c r="AJ4" s="49" t="s">
        <v>59</v>
      </c>
      <c r="AK4" s="35"/>
      <c r="AL4" s="35" t="s">
        <v>59</v>
      </c>
      <c r="AM4" s="35" t="s">
        <v>63</v>
      </c>
      <c r="AN4" s="35"/>
      <c r="AO4" s="35"/>
      <c r="AP4" s="35" t="s">
        <v>59</v>
      </c>
      <c r="AQ4" s="25" t="s">
        <v>69</v>
      </c>
      <c r="AR4" s="1"/>
      <c r="AS4" t="str">
        <f t="shared" ref="AS4:AS67" si="0">IF(AND(AP4="N", ISBLANK(AQ4)), "THIS", "")</f>
        <v/>
      </c>
      <c r="AU4" t="s">
        <v>59</v>
      </c>
      <c r="AV4" t="s">
        <v>81</v>
      </c>
      <c r="AW4" t="s">
        <v>82</v>
      </c>
    </row>
    <row r="5" spans="1:49" ht="32" x14ac:dyDescent="0.2">
      <c r="A5" s="97"/>
      <c r="B5" s="1">
        <v>5</v>
      </c>
      <c r="C5" s="1" t="s">
        <v>83</v>
      </c>
      <c r="D5" s="1" t="s">
        <v>84</v>
      </c>
      <c r="E5" s="2" t="s">
        <v>85</v>
      </c>
      <c r="F5" s="1" t="s">
        <v>86</v>
      </c>
      <c r="G5" s="3">
        <v>2012</v>
      </c>
      <c r="H5" s="1" t="s">
        <v>87</v>
      </c>
      <c r="I5" s="35" t="s">
        <v>63</v>
      </c>
      <c r="J5" s="1"/>
      <c r="K5" s="35">
        <v>20</v>
      </c>
      <c r="L5" s="35" t="s">
        <v>55</v>
      </c>
      <c r="M5" s="1" t="s">
        <v>55</v>
      </c>
      <c r="N5" s="35" t="s">
        <v>55</v>
      </c>
      <c r="O5" s="1" t="s">
        <v>55</v>
      </c>
      <c r="P5" s="1" t="s">
        <v>58</v>
      </c>
      <c r="Q5" s="35" t="s">
        <v>55</v>
      </c>
      <c r="R5" s="35">
        <v>4</v>
      </c>
      <c r="S5" s="1" t="s">
        <v>88</v>
      </c>
      <c r="T5" s="1" t="s">
        <v>55</v>
      </c>
      <c r="U5" s="35" t="s">
        <v>55</v>
      </c>
      <c r="V5" s="4" t="s">
        <v>89</v>
      </c>
      <c r="W5" s="35" t="s">
        <v>63</v>
      </c>
      <c r="X5" s="1" t="s">
        <v>55</v>
      </c>
      <c r="Y5" s="35" t="s">
        <v>63</v>
      </c>
      <c r="Z5" s="1" t="s">
        <v>90</v>
      </c>
      <c r="AA5" s="35" t="s">
        <v>55</v>
      </c>
      <c r="AB5" s="25" t="s">
        <v>55</v>
      </c>
      <c r="AC5" s="1" t="s">
        <v>65</v>
      </c>
      <c r="AD5" s="1" t="s">
        <v>66</v>
      </c>
      <c r="AE5" s="1" t="s">
        <v>91</v>
      </c>
      <c r="AF5" s="35" t="s">
        <v>59</v>
      </c>
      <c r="AG5" s="35" t="s">
        <v>63</v>
      </c>
      <c r="AH5" s="35" t="s">
        <v>92</v>
      </c>
      <c r="AI5" s="25" t="s">
        <v>59</v>
      </c>
      <c r="AJ5" s="49" t="s">
        <v>59</v>
      </c>
      <c r="AK5" s="35"/>
      <c r="AL5" s="35" t="s">
        <v>59</v>
      </c>
      <c r="AM5" s="35" t="s">
        <v>59</v>
      </c>
      <c r="AN5" s="35" t="s">
        <v>93</v>
      </c>
      <c r="AO5" s="35"/>
      <c r="AP5" s="35" t="s">
        <v>59</v>
      </c>
      <c r="AQ5" s="25" t="s">
        <v>81</v>
      </c>
      <c r="AR5" s="1"/>
      <c r="AS5" t="str">
        <f t="shared" si="0"/>
        <v/>
      </c>
      <c r="AV5" t="s">
        <v>94</v>
      </c>
      <c r="AW5" t="s">
        <v>93</v>
      </c>
    </row>
    <row r="6" spans="1:49" ht="32" x14ac:dyDescent="0.2">
      <c r="A6" s="97"/>
      <c r="B6" s="114">
        <v>24</v>
      </c>
      <c r="C6" s="114" t="s">
        <v>95</v>
      </c>
      <c r="D6" s="114" t="s">
        <v>96</v>
      </c>
      <c r="E6" s="126" t="s">
        <v>97</v>
      </c>
      <c r="F6" s="114" t="s">
        <v>53</v>
      </c>
      <c r="G6" s="122">
        <v>2022</v>
      </c>
      <c r="H6" s="1" t="s">
        <v>98</v>
      </c>
      <c r="I6" s="35" t="s">
        <v>63</v>
      </c>
      <c r="J6" s="1"/>
      <c r="K6" s="35" t="s">
        <v>99</v>
      </c>
      <c r="L6" s="35" t="s">
        <v>55</v>
      </c>
      <c r="M6" s="1" t="s">
        <v>100</v>
      </c>
      <c r="N6" s="35">
        <v>9</v>
      </c>
      <c r="O6" s="1" t="s">
        <v>101</v>
      </c>
      <c r="P6" s="1" t="s">
        <v>58</v>
      </c>
      <c r="Q6" s="35" t="s">
        <v>59</v>
      </c>
      <c r="R6" s="35">
        <v>6</v>
      </c>
      <c r="S6" s="1" t="s">
        <v>102</v>
      </c>
      <c r="T6" s="1" t="s">
        <v>55</v>
      </c>
      <c r="U6" s="35" t="s">
        <v>55</v>
      </c>
      <c r="V6" s="115" t="s">
        <v>103</v>
      </c>
      <c r="W6" s="92" t="s">
        <v>63</v>
      </c>
      <c r="X6" s="114" t="s">
        <v>104</v>
      </c>
      <c r="Y6" s="92" t="s">
        <v>63</v>
      </c>
      <c r="Z6" s="114" t="s">
        <v>105</v>
      </c>
      <c r="AA6" s="92">
        <v>2.5</v>
      </c>
      <c r="AB6" s="91" t="s">
        <v>55</v>
      </c>
      <c r="AC6" s="114" t="s">
        <v>106</v>
      </c>
      <c r="AD6" s="114" t="s">
        <v>107</v>
      </c>
      <c r="AE6" s="114" t="s">
        <v>108</v>
      </c>
      <c r="AF6" s="92" t="s">
        <v>59</v>
      </c>
      <c r="AG6" s="92" t="s">
        <v>59</v>
      </c>
      <c r="AH6" s="92" t="s">
        <v>63</v>
      </c>
      <c r="AI6" s="91" t="s">
        <v>59</v>
      </c>
      <c r="AJ6" s="95" t="s">
        <v>59</v>
      </c>
      <c r="AK6" s="92"/>
      <c r="AL6" s="92" t="s">
        <v>59</v>
      </c>
      <c r="AM6" s="92" t="s">
        <v>59</v>
      </c>
      <c r="AN6" s="92" t="s">
        <v>93</v>
      </c>
      <c r="AO6" s="35"/>
      <c r="AP6" s="92" t="s">
        <v>59</v>
      </c>
      <c r="AQ6" s="91" t="s">
        <v>81</v>
      </c>
      <c r="AR6" s="1"/>
      <c r="AS6" t="str">
        <f t="shared" si="0"/>
        <v/>
      </c>
    </row>
    <row r="7" spans="1:49" ht="96" x14ac:dyDescent="0.2">
      <c r="A7" s="97"/>
      <c r="B7" s="114"/>
      <c r="C7" s="114"/>
      <c r="D7" s="114"/>
      <c r="E7" s="126"/>
      <c r="F7" s="114"/>
      <c r="G7" s="122"/>
      <c r="H7" s="1" t="s">
        <v>109</v>
      </c>
      <c r="I7" s="35" t="s">
        <v>63</v>
      </c>
      <c r="J7" s="1"/>
      <c r="K7" s="35">
        <v>100</v>
      </c>
      <c r="L7" s="35" t="s">
        <v>55</v>
      </c>
      <c r="M7" s="1" t="s">
        <v>55</v>
      </c>
      <c r="N7" s="35">
        <v>9</v>
      </c>
      <c r="O7" s="1" t="s">
        <v>110</v>
      </c>
      <c r="P7" s="1" t="s">
        <v>58</v>
      </c>
      <c r="Q7" s="35" t="s">
        <v>59</v>
      </c>
      <c r="R7" s="35">
        <v>12</v>
      </c>
      <c r="S7" s="1" t="s">
        <v>111</v>
      </c>
      <c r="T7" s="1" t="s">
        <v>55</v>
      </c>
      <c r="U7" s="35" t="s">
        <v>112</v>
      </c>
      <c r="V7" s="115"/>
      <c r="W7" s="92"/>
      <c r="X7" s="114"/>
      <c r="Y7" s="92"/>
      <c r="Z7" s="114"/>
      <c r="AA7" s="92"/>
      <c r="AB7" s="91"/>
      <c r="AC7" s="114"/>
      <c r="AD7" s="114"/>
      <c r="AE7" s="114"/>
      <c r="AF7" s="92"/>
      <c r="AG7" s="92"/>
      <c r="AH7" s="92"/>
      <c r="AI7" s="91"/>
      <c r="AJ7" s="95"/>
      <c r="AK7" s="92"/>
      <c r="AL7" s="92"/>
      <c r="AM7" s="92"/>
      <c r="AN7" s="92"/>
      <c r="AO7" s="35"/>
      <c r="AP7" s="92"/>
      <c r="AQ7" s="91"/>
      <c r="AR7" s="1"/>
      <c r="AS7" t="str">
        <f t="shared" si="0"/>
        <v/>
      </c>
    </row>
    <row r="8" spans="1:49" ht="64" x14ac:dyDescent="0.2">
      <c r="A8" s="97"/>
      <c r="B8" s="114">
        <v>25</v>
      </c>
      <c r="C8" s="114" t="s">
        <v>113</v>
      </c>
      <c r="D8" s="114" t="s">
        <v>114</v>
      </c>
      <c r="E8" s="126" t="s">
        <v>115</v>
      </c>
      <c r="F8" s="114" t="s">
        <v>116</v>
      </c>
      <c r="G8" s="122">
        <v>2021</v>
      </c>
      <c r="H8" s="1" t="s">
        <v>98</v>
      </c>
      <c r="I8" s="35" t="s">
        <v>63</v>
      </c>
      <c r="J8" s="1"/>
      <c r="K8" s="35">
        <v>100</v>
      </c>
      <c r="L8" s="35" t="s">
        <v>55</v>
      </c>
      <c r="M8" s="1" t="s">
        <v>55</v>
      </c>
      <c r="N8" s="35">
        <v>9</v>
      </c>
      <c r="O8" s="1" t="s">
        <v>55</v>
      </c>
      <c r="P8" s="1" t="s">
        <v>55</v>
      </c>
      <c r="Q8" s="35" t="s">
        <v>55</v>
      </c>
      <c r="R8" s="35">
        <v>6</v>
      </c>
      <c r="S8" s="1" t="s">
        <v>117</v>
      </c>
      <c r="T8" s="1" t="s">
        <v>55</v>
      </c>
      <c r="U8" s="35" t="s">
        <v>55</v>
      </c>
      <c r="V8" s="115" t="s">
        <v>118</v>
      </c>
      <c r="W8" s="92" t="s">
        <v>63</v>
      </c>
      <c r="X8" s="114" t="s">
        <v>119</v>
      </c>
      <c r="Y8" s="92" t="s">
        <v>59</v>
      </c>
      <c r="Z8" s="1"/>
      <c r="AA8" s="92">
        <v>1</v>
      </c>
      <c r="AB8" s="91">
        <v>60</v>
      </c>
      <c r="AC8" s="114" t="s">
        <v>120</v>
      </c>
      <c r="AD8" s="114" t="s">
        <v>121</v>
      </c>
      <c r="AE8" s="114" t="s">
        <v>122</v>
      </c>
      <c r="AF8" s="92" t="s">
        <v>59</v>
      </c>
      <c r="AG8" s="92" t="s">
        <v>59</v>
      </c>
      <c r="AH8" s="92" t="s">
        <v>63</v>
      </c>
      <c r="AI8" s="91" t="s">
        <v>59</v>
      </c>
      <c r="AJ8" s="49" t="s">
        <v>63</v>
      </c>
      <c r="AK8" s="35" t="s">
        <v>123</v>
      </c>
      <c r="AL8" s="92" t="s">
        <v>1660</v>
      </c>
      <c r="AM8" s="92" t="s">
        <v>63</v>
      </c>
      <c r="AN8" s="92"/>
      <c r="AO8" s="35"/>
      <c r="AP8" s="92" t="s">
        <v>63</v>
      </c>
      <c r="AQ8" s="91"/>
      <c r="AR8" s="1"/>
      <c r="AS8" t="str">
        <f t="shared" si="0"/>
        <v/>
      </c>
    </row>
    <row r="9" spans="1:49" ht="48" x14ac:dyDescent="0.2">
      <c r="A9" s="97"/>
      <c r="B9" s="114"/>
      <c r="C9" s="114"/>
      <c r="D9" s="114"/>
      <c r="E9" s="126"/>
      <c r="F9" s="114"/>
      <c r="G9" s="122"/>
      <c r="H9" s="1" t="s">
        <v>124</v>
      </c>
      <c r="I9" s="35" t="s">
        <v>63</v>
      </c>
      <c r="J9" s="1"/>
      <c r="K9" s="35">
        <v>50</v>
      </c>
      <c r="L9" s="35" t="s">
        <v>55</v>
      </c>
      <c r="M9" s="1" t="s">
        <v>55</v>
      </c>
      <c r="N9" s="35">
        <v>15</v>
      </c>
      <c r="O9" s="1" t="s">
        <v>55</v>
      </c>
      <c r="P9" s="1" t="s">
        <v>55</v>
      </c>
      <c r="Q9" s="35" t="s">
        <v>55</v>
      </c>
      <c r="R9" s="35">
        <v>8</v>
      </c>
      <c r="S9" s="1" t="s">
        <v>125</v>
      </c>
      <c r="T9" s="1" t="s">
        <v>55</v>
      </c>
      <c r="U9" s="35" t="s">
        <v>55</v>
      </c>
      <c r="V9" s="115"/>
      <c r="W9" s="92"/>
      <c r="X9" s="114"/>
      <c r="Y9" s="92"/>
      <c r="Z9" s="1"/>
      <c r="AA9" s="92"/>
      <c r="AB9" s="91"/>
      <c r="AC9" s="114"/>
      <c r="AD9" s="114"/>
      <c r="AE9" s="114"/>
      <c r="AF9" s="92"/>
      <c r="AG9" s="92"/>
      <c r="AH9" s="92"/>
      <c r="AI9" s="91"/>
      <c r="AJ9" s="49"/>
      <c r="AK9" s="35"/>
      <c r="AL9" s="92"/>
      <c r="AM9" s="92"/>
      <c r="AN9" s="92"/>
      <c r="AO9" s="35"/>
      <c r="AP9" s="92"/>
      <c r="AQ9" s="91"/>
      <c r="AR9" s="1"/>
      <c r="AS9" t="str">
        <f t="shared" si="0"/>
        <v/>
      </c>
    </row>
    <row r="10" spans="1:49" ht="68" x14ac:dyDescent="0.2">
      <c r="A10" s="97"/>
      <c r="B10" s="36">
        <v>151</v>
      </c>
      <c r="C10" s="36" t="s">
        <v>126</v>
      </c>
      <c r="D10" s="36" t="s">
        <v>127</v>
      </c>
      <c r="E10" s="36" t="s">
        <v>128</v>
      </c>
      <c r="F10" s="36" t="s">
        <v>129</v>
      </c>
      <c r="G10" s="58">
        <v>2025</v>
      </c>
      <c r="H10" s="36" t="s">
        <v>98</v>
      </c>
      <c r="I10" s="37" t="s">
        <v>63</v>
      </c>
      <c r="J10" s="36"/>
      <c r="K10" s="37" t="s">
        <v>130</v>
      </c>
      <c r="L10" s="37" t="s">
        <v>55</v>
      </c>
      <c r="M10" s="36" t="s">
        <v>131</v>
      </c>
      <c r="N10" s="37">
        <v>9</v>
      </c>
      <c r="O10" s="36" t="s">
        <v>101</v>
      </c>
      <c r="P10" s="40" t="s">
        <v>58</v>
      </c>
      <c r="Q10" s="37" t="s">
        <v>132</v>
      </c>
      <c r="R10" s="37">
        <v>6</v>
      </c>
      <c r="S10" s="36" t="s">
        <v>133</v>
      </c>
      <c r="T10" s="36" t="s">
        <v>55</v>
      </c>
      <c r="U10" s="37" t="s">
        <v>134</v>
      </c>
      <c r="V10" s="57" t="s">
        <v>135</v>
      </c>
      <c r="W10" s="37" t="s">
        <v>63</v>
      </c>
      <c r="X10" s="36" t="s">
        <v>136</v>
      </c>
      <c r="Y10" s="37" t="s">
        <v>59</v>
      </c>
      <c r="Z10" s="36"/>
      <c r="AA10" s="37">
        <v>60</v>
      </c>
      <c r="AB10" s="38" t="s">
        <v>55</v>
      </c>
      <c r="AC10" s="36" t="s">
        <v>137</v>
      </c>
      <c r="AD10" s="36" t="s">
        <v>138</v>
      </c>
      <c r="AE10" s="36" t="s">
        <v>139</v>
      </c>
      <c r="AF10" s="37" t="s">
        <v>140</v>
      </c>
      <c r="AG10" s="37" t="s">
        <v>63</v>
      </c>
      <c r="AH10" s="37" t="s">
        <v>59</v>
      </c>
      <c r="AI10" s="38" t="s">
        <v>59</v>
      </c>
      <c r="AJ10" s="50" t="s">
        <v>59</v>
      </c>
      <c r="AK10" s="37"/>
      <c r="AL10" s="37" t="s">
        <v>59</v>
      </c>
      <c r="AM10" s="37" t="s">
        <v>59</v>
      </c>
      <c r="AN10" s="37" t="s">
        <v>93</v>
      </c>
      <c r="AO10" s="37"/>
      <c r="AP10" s="37" t="s">
        <v>59</v>
      </c>
      <c r="AQ10" s="38" t="s">
        <v>94</v>
      </c>
      <c r="AR10" s="23"/>
      <c r="AS10" t="str">
        <f t="shared" si="0"/>
        <v/>
      </c>
    </row>
    <row r="11" spans="1:49" ht="48" x14ac:dyDescent="0.2">
      <c r="A11" s="97"/>
      <c r="B11" s="1">
        <v>59</v>
      </c>
      <c r="C11" s="1" t="s">
        <v>141</v>
      </c>
      <c r="D11" s="1" t="s">
        <v>142</v>
      </c>
      <c r="E11" s="1" t="s">
        <v>143</v>
      </c>
      <c r="F11" s="1" t="s">
        <v>116</v>
      </c>
      <c r="G11" s="3">
        <v>2011</v>
      </c>
      <c r="H11" s="1" t="s">
        <v>54</v>
      </c>
      <c r="I11" s="35" t="s">
        <v>55</v>
      </c>
      <c r="J11" s="1"/>
      <c r="K11" s="35">
        <v>33</v>
      </c>
      <c r="L11" s="35">
        <v>2</v>
      </c>
      <c r="M11" s="1" t="s">
        <v>144</v>
      </c>
      <c r="N11" s="35">
        <v>7</v>
      </c>
      <c r="O11" s="1" t="s">
        <v>145</v>
      </c>
      <c r="P11" s="1" t="s">
        <v>58</v>
      </c>
      <c r="Q11" s="35" t="s">
        <v>59</v>
      </c>
      <c r="R11" s="35">
        <v>5</v>
      </c>
      <c r="S11" s="1" t="s">
        <v>146</v>
      </c>
      <c r="T11" s="40" t="s">
        <v>105</v>
      </c>
      <c r="U11" s="35" t="s">
        <v>147</v>
      </c>
      <c r="V11" s="4" t="s">
        <v>148</v>
      </c>
      <c r="W11" s="35" t="s">
        <v>63</v>
      </c>
      <c r="X11" s="1" t="s">
        <v>149</v>
      </c>
      <c r="Y11" s="35" t="s">
        <v>63</v>
      </c>
      <c r="Z11" s="1" t="s">
        <v>150</v>
      </c>
      <c r="AA11" s="35">
        <v>3.88</v>
      </c>
      <c r="AB11" s="25">
        <v>50</v>
      </c>
      <c r="AC11" s="1" t="s">
        <v>151</v>
      </c>
      <c r="AD11" s="1" t="s">
        <v>107</v>
      </c>
      <c r="AE11" s="1" t="s">
        <v>152</v>
      </c>
      <c r="AF11" s="35" t="s">
        <v>59</v>
      </c>
      <c r="AG11" s="35" t="s">
        <v>59</v>
      </c>
      <c r="AH11" s="35" t="s">
        <v>59</v>
      </c>
      <c r="AI11" s="25" t="s">
        <v>59</v>
      </c>
      <c r="AJ11" s="49" t="s">
        <v>59</v>
      </c>
      <c r="AK11" s="35"/>
      <c r="AL11" s="35" t="s">
        <v>59</v>
      </c>
      <c r="AM11" s="35" t="s">
        <v>59</v>
      </c>
      <c r="AN11" s="5" t="s">
        <v>68</v>
      </c>
      <c r="AO11" s="35" t="s">
        <v>153</v>
      </c>
      <c r="AP11" s="35" t="s">
        <v>59</v>
      </c>
      <c r="AQ11" s="25" t="s">
        <v>69</v>
      </c>
      <c r="AR11" s="1"/>
      <c r="AS11" t="str">
        <f t="shared" si="0"/>
        <v/>
      </c>
    </row>
    <row r="12" spans="1:49" ht="96" x14ac:dyDescent="0.2">
      <c r="A12" s="97"/>
      <c r="B12" s="1">
        <v>39</v>
      </c>
      <c r="C12" s="1" t="s">
        <v>154</v>
      </c>
      <c r="D12" s="1" t="s">
        <v>155</v>
      </c>
      <c r="E12" s="12" t="s">
        <v>156</v>
      </c>
      <c r="F12" s="1" t="s">
        <v>72</v>
      </c>
      <c r="G12" s="3">
        <v>2018</v>
      </c>
      <c r="H12" s="1" t="s">
        <v>54</v>
      </c>
      <c r="I12" s="35" t="s">
        <v>55</v>
      </c>
      <c r="J12" s="1"/>
      <c r="K12" s="35" t="s">
        <v>55</v>
      </c>
      <c r="L12" s="35" t="s">
        <v>55</v>
      </c>
      <c r="M12" s="1" t="s">
        <v>157</v>
      </c>
      <c r="N12" s="35">
        <v>50</v>
      </c>
      <c r="O12" s="1" t="s">
        <v>158</v>
      </c>
      <c r="P12" s="1" t="s">
        <v>58</v>
      </c>
      <c r="Q12" s="35" t="s">
        <v>63</v>
      </c>
      <c r="R12" s="35">
        <v>7</v>
      </c>
      <c r="S12" s="1" t="s">
        <v>159</v>
      </c>
      <c r="T12" s="1" t="s">
        <v>55</v>
      </c>
      <c r="U12" s="35" t="s">
        <v>147</v>
      </c>
      <c r="V12" s="4" t="s">
        <v>160</v>
      </c>
      <c r="W12" s="35" t="s">
        <v>59</v>
      </c>
      <c r="X12" s="1" t="s">
        <v>161</v>
      </c>
      <c r="Y12" s="35">
        <v>37</v>
      </c>
      <c r="Z12" s="1" t="s">
        <v>162</v>
      </c>
      <c r="AA12" s="35" t="s">
        <v>163</v>
      </c>
      <c r="AB12" s="25" t="s">
        <v>55</v>
      </c>
      <c r="AC12" s="1" t="s">
        <v>120</v>
      </c>
      <c r="AD12" s="1" t="s">
        <v>66</v>
      </c>
      <c r="AE12" s="1" t="s">
        <v>80</v>
      </c>
      <c r="AF12" s="35" t="s">
        <v>63</v>
      </c>
      <c r="AG12" s="35" t="s">
        <v>59</v>
      </c>
      <c r="AH12" s="35" t="s">
        <v>59</v>
      </c>
      <c r="AI12" s="25" t="s">
        <v>59</v>
      </c>
      <c r="AJ12" s="49" t="s">
        <v>59</v>
      </c>
      <c r="AK12" s="35"/>
      <c r="AL12" s="35" t="s">
        <v>59</v>
      </c>
      <c r="AM12" s="35" t="s">
        <v>59</v>
      </c>
      <c r="AN12" s="35" t="s">
        <v>93</v>
      </c>
      <c r="AO12" s="35"/>
      <c r="AP12" s="35" t="s">
        <v>59</v>
      </c>
      <c r="AQ12" s="25" t="s">
        <v>69</v>
      </c>
      <c r="AR12" s="1"/>
      <c r="AS12" t="str">
        <f t="shared" si="0"/>
        <v/>
      </c>
    </row>
    <row r="13" spans="1:49" ht="80" x14ac:dyDescent="0.2">
      <c r="A13" s="97"/>
      <c r="B13" s="114">
        <v>132</v>
      </c>
      <c r="C13" s="114" t="s">
        <v>164</v>
      </c>
      <c r="D13" s="114" t="s">
        <v>165</v>
      </c>
      <c r="E13" s="114" t="s">
        <v>166</v>
      </c>
      <c r="F13" s="114" t="s">
        <v>167</v>
      </c>
      <c r="G13" s="122">
        <v>2017</v>
      </c>
      <c r="H13" s="1" t="s">
        <v>109</v>
      </c>
      <c r="I13" s="35" t="s">
        <v>63</v>
      </c>
      <c r="J13" s="1"/>
      <c r="K13" s="35">
        <v>100</v>
      </c>
      <c r="L13" s="35">
        <v>16</v>
      </c>
      <c r="M13" s="1" t="s">
        <v>168</v>
      </c>
      <c r="N13" s="35">
        <v>9</v>
      </c>
      <c r="O13" s="1" t="s">
        <v>150</v>
      </c>
      <c r="P13" s="1" t="s">
        <v>58</v>
      </c>
      <c r="Q13" s="35" t="s">
        <v>59</v>
      </c>
      <c r="R13" s="35" t="s">
        <v>169</v>
      </c>
      <c r="S13" s="1" t="s">
        <v>170</v>
      </c>
      <c r="T13" s="1" t="s">
        <v>55</v>
      </c>
      <c r="U13" s="35" t="s">
        <v>112</v>
      </c>
      <c r="V13" s="115" t="s">
        <v>171</v>
      </c>
      <c r="W13" s="92" t="s">
        <v>63</v>
      </c>
      <c r="X13" s="114" t="s">
        <v>172</v>
      </c>
      <c r="Y13" s="92" t="s">
        <v>63</v>
      </c>
      <c r="Z13" s="114" t="s">
        <v>173</v>
      </c>
      <c r="AA13" s="92">
        <v>10</v>
      </c>
      <c r="AB13" s="91">
        <v>50</v>
      </c>
      <c r="AC13" s="114" t="s">
        <v>120</v>
      </c>
      <c r="AD13" s="114" t="s">
        <v>174</v>
      </c>
      <c r="AE13" s="114" t="s">
        <v>175</v>
      </c>
      <c r="AF13" s="92" t="s">
        <v>63</v>
      </c>
      <c r="AG13" s="92" t="s">
        <v>63</v>
      </c>
      <c r="AH13" s="92" t="s">
        <v>63</v>
      </c>
      <c r="AI13" s="91" t="s">
        <v>59</v>
      </c>
      <c r="AJ13" s="95" t="s">
        <v>63</v>
      </c>
      <c r="AK13" s="92" t="s">
        <v>176</v>
      </c>
      <c r="AL13" s="92" t="s">
        <v>59</v>
      </c>
      <c r="AM13" s="92" t="s">
        <v>63</v>
      </c>
      <c r="AN13" s="92"/>
      <c r="AO13" s="35"/>
      <c r="AP13" s="92" t="s">
        <v>63</v>
      </c>
      <c r="AQ13" s="91"/>
      <c r="AR13" s="1" t="s">
        <v>1661</v>
      </c>
      <c r="AS13" t="str">
        <f t="shared" si="0"/>
        <v/>
      </c>
    </row>
    <row r="14" spans="1:49" ht="204" customHeight="1" x14ac:dyDescent="0.2">
      <c r="A14" s="97"/>
      <c r="B14" s="114"/>
      <c r="C14" s="114"/>
      <c r="D14" s="114"/>
      <c r="E14" s="114"/>
      <c r="F14" s="114"/>
      <c r="G14" s="122"/>
      <c r="H14" s="1" t="s">
        <v>54</v>
      </c>
      <c r="I14" s="35" t="s">
        <v>1662</v>
      </c>
      <c r="J14" s="149" t="s">
        <v>1663</v>
      </c>
      <c r="K14" s="35">
        <v>32</v>
      </c>
      <c r="L14" s="35">
        <v>2</v>
      </c>
      <c r="M14" s="1" t="s">
        <v>177</v>
      </c>
      <c r="N14" s="35">
        <v>8</v>
      </c>
      <c r="O14" s="1" t="s">
        <v>150</v>
      </c>
      <c r="P14" s="1" t="s">
        <v>58</v>
      </c>
      <c r="Q14" s="35" t="s">
        <v>59</v>
      </c>
      <c r="R14" s="35">
        <v>5</v>
      </c>
      <c r="S14" s="1" t="s">
        <v>178</v>
      </c>
      <c r="T14" s="1" t="s">
        <v>55</v>
      </c>
      <c r="U14" s="35" t="s">
        <v>147</v>
      </c>
      <c r="V14" s="115"/>
      <c r="W14" s="92"/>
      <c r="X14" s="114"/>
      <c r="Y14" s="92"/>
      <c r="Z14" s="114"/>
      <c r="AA14" s="92"/>
      <c r="AB14" s="91"/>
      <c r="AC14" s="114"/>
      <c r="AD14" s="114"/>
      <c r="AE14" s="114"/>
      <c r="AF14" s="92"/>
      <c r="AG14" s="92"/>
      <c r="AH14" s="92"/>
      <c r="AI14" s="91"/>
      <c r="AJ14" s="95"/>
      <c r="AK14" s="92"/>
      <c r="AL14" s="92"/>
      <c r="AM14" s="92"/>
      <c r="AN14" s="92"/>
      <c r="AO14" s="35"/>
      <c r="AP14" s="92"/>
      <c r="AQ14" s="91"/>
      <c r="AR14" s="1"/>
      <c r="AS14" t="str">
        <f t="shared" si="0"/>
        <v/>
      </c>
    </row>
    <row r="15" spans="1:49" ht="96" x14ac:dyDescent="0.2">
      <c r="A15" s="97"/>
      <c r="B15" s="114"/>
      <c r="C15" s="114"/>
      <c r="D15" s="114"/>
      <c r="E15" s="114"/>
      <c r="F15" s="114"/>
      <c r="G15" s="122"/>
      <c r="H15" s="1" t="s">
        <v>54</v>
      </c>
      <c r="I15" s="35" t="s">
        <v>1662</v>
      </c>
      <c r="J15" s="149"/>
      <c r="K15" s="35">
        <v>20</v>
      </c>
      <c r="L15" s="35">
        <v>6</v>
      </c>
      <c r="M15" s="1" t="s">
        <v>179</v>
      </c>
      <c r="N15" s="35">
        <v>17</v>
      </c>
      <c r="O15" s="1" t="s">
        <v>150</v>
      </c>
      <c r="P15" s="1" t="s">
        <v>58</v>
      </c>
      <c r="Q15" s="35" t="s">
        <v>59</v>
      </c>
      <c r="R15" s="35">
        <v>7</v>
      </c>
      <c r="S15" s="1" t="s">
        <v>180</v>
      </c>
      <c r="T15" s="1" t="s">
        <v>55</v>
      </c>
      <c r="U15" s="35" t="s">
        <v>147</v>
      </c>
      <c r="V15" s="115"/>
      <c r="W15" s="92"/>
      <c r="X15" s="114"/>
      <c r="Y15" s="92"/>
      <c r="Z15" s="114"/>
      <c r="AA15" s="92"/>
      <c r="AB15" s="91"/>
      <c r="AC15" s="114"/>
      <c r="AD15" s="114"/>
      <c r="AE15" s="114"/>
      <c r="AF15" s="92"/>
      <c r="AG15" s="92"/>
      <c r="AH15" s="92"/>
      <c r="AI15" s="91"/>
      <c r="AJ15" s="95"/>
      <c r="AK15" s="92"/>
      <c r="AL15" s="92"/>
      <c r="AM15" s="92"/>
      <c r="AN15" s="92"/>
      <c r="AO15" s="35"/>
      <c r="AP15" s="92"/>
      <c r="AQ15" s="91"/>
      <c r="AR15" s="1"/>
      <c r="AS15" t="str">
        <f t="shared" si="0"/>
        <v/>
      </c>
    </row>
    <row r="16" spans="1:49" ht="119" x14ac:dyDescent="0.2">
      <c r="A16" s="97"/>
      <c r="B16" s="36">
        <v>155</v>
      </c>
      <c r="C16" s="36" t="s">
        <v>181</v>
      </c>
      <c r="D16" s="36" t="s">
        <v>182</v>
      </c>
      <c r="E16" s="59" t="s">
        <v>183</v>
      </c>
      <c r="F16" s="36" t="s">
        <v>184</v>
      </c>
      <c r="G16" s="58">
        <v>2024</v>
      </c>
      <c r="H16" s="36" t="s">
        <v>185</v>
      </c>
      <c r="I16" s="37" t="s">
        <v>63</v>
      </c>
      <c r="J16" s="36"/>
      <c r="K16" s="37">
        <v>25</v>
      </c>
      <c r="L16" s="37" t="s">
        <v>55</v>
      </c>
      <c r="M16" s="36" t="s">
        <v>55</v>
      </c>
      <c r="N16" s="37">
        <v>60</v>
      </c>
      <c r="O16" s="36" t="s">
        <v>55</v>
      </c>
      <c r="P16" s="36" t="s">
        <v>186</v>
      </c>
      <c r="Q16" s="37" t="s">
        <v>55</v>
      </c>
      <c r="R16" s="37">
        <v>5</v>
      </c>
      <c r="S16" s="36" t="s">
        <v>187</v>
      </c>
      <c r="T16" s="36" t="s">
        <v>80</v>
      </c>
      <c r="U16" s="37" t="s">
        <v>55</v>
      </c>
      <c r="V16" s="57" t="s">
        <v>188</v>
      </c>
      <c r="W16" s="37" t="s">
        <v>63</v>
      </c>
      <c r="X16" s="36" t="s">
        <v>189</v>
      </c>
      <c r="Y16" s="37" t="s">
        <v>190</v>
      </c>
      <c r="Z16" s="36" t="s">
        <v>191</v>
      </c>
      <c r="AA16" s="37">
        <v>20</v>
      </c>
      <c r="AB16" s="38">
        <v>0</v>
      </c>
      <c r="AC16" s="36" t="s">
        <v>106</v>
      </c>
      <c r="AD16" s="36" t="s">
        <v>192</v>
      </c>
      <c r="AE16" s="36" t="s">
        <v>193</v>
      </c>
      <c r="AF16" s="39" t="s">
        <v>194</v>
      </c>
      <c r="AG16" s="37" t="s">
        <v>63</v>
      </c>
      <c r="AH16" s="37" t="s">
        <v>59</v>
      </c>
      <c r="AI16" s="38" t="s">
        <v>59</v>
      </c>
      <c r="AJ16" s="50" t="s">
        <v>63</v>
      </c>
      <c r="AK16" s="37" t="s">
        <v>195</v>
      </c>
      <c r="AL16" s="37" t="s">
        <v>59</v>
      </c>
      <c r="AM16" s="37" t="s">
        <v>63</v>
      </c>
      <c r="AN16" s="37"/>
      <c r="AO16" s="37"/>
      <c r="AP16" s="37" t="s">
        <v>63</v>
      </c>
      <c r="AQ16" s="38"/>
      <c r="AR16" s="23"/>
      <c r="AS16" t="str">
        <f t="shared" si="0"/>
        <v/>
      </c>
    </row>
    <row r="17" spans="1:45" ht="64" x14ac:dyDescent="0.2">
      <c r="A17" s="97"/>
      <c r="B17" s="1">
        <v>83</v>
      </c>
      <c r="C17" s="1" t="s">
        <v>196</v>
      </c>
      <c r="D17" s="1" t="s">
        <v>197</v>
      </c>
      <c r="E17" s="1" t="s">
        <v>198</v>
      </c>
      <c r="F17" s="1" t="s">
        <v>199</v>
      </c>
      <c r="G17" s="3">
        <v>2013</v>
      </c>
      <c r="H17" s="1" t="s">
        <v>54</v>
      </c>
      <c r="I17" s="35" t="s">
        <v>55</v>
      </c>
      <c r="J17" s="1"/>
      <c r="K17" s="35">
        <v>132</v>
      </c>
      <c r="L17" s="35">
        <v>6</v>
      </c>
      <c r="M17" s="1" t="s">
        <v>55</v>
      </c>
      <c r="N17" s="35">
        <v>25</v>
      </c>
      <c r="O17" s="1" t="s">
        <v>200</v>
      </c>
      <c r="P17" s="1" t="s">
        <v>186</v>
      </c>
      <c r="Q17" s="35" t="s">
        <v>59</v>
      </c>
      <c r="R17" s="35">
        <v>19</v>
      </c>
      <c r="S17" s="1" t="s">
        <v>150</v>
      </c>
      <c r="T17" s="1" t="s">
        <v>150</v>
      </c>
      <c r="U17" s="35" t="s">
        <v>112</v>
      </c>
      <c r="V17" s="4" t="s">
        <v>201</v>
      </c>
      <c r="W17" s="35" t="s">
        <v>63</v>
      </c>
      <c r="X17" s="1" t="s">
        <v>202</v>
      </c>
      <c r="Y17" s="35" t="s">
        <v>63</v>
      </c>
      <c r="Z17" s="1" t="s">
        <v>203</v>
      </c>
      <c r="AA17" s="35">
        <v>1</v>
      </c>
      <c r="AB17" s="25">
        <v>50</v>
      </c>
      <c r="AC17" s="1" t="s">
        <v>120</v>
      </c>
      <c r="AD17" s="1" t="s">
        <v>204</v>
      </c>
      <c r="AE17" s="1" t="s">
        <v>193</v>
      </c>
      <c r="AF17" s="35" t="s">
        <v>59</v>
      </c>
      <c r="AG17" s="35" t="s">
        <v>63</v>
      </c>
      <c r="AH17" s="35" t="s">
        <v>59</v>
      </c>
      <c r="AI17" s="25" t="s">
        <v>59</v>
      </c>
      <c r="AJ17" s="49" t="s">
        <v>59</v>
      </c>
      <c r="AK17" s="35"/>
      <c r="AL17" s="35" t="s">
        <v>59</v>
      </c>
      <c r="AM17" s="35" t="s">
        <v>63</v>
      </c>
      <c r="AN17" s="35"/>
      <c r="AO17" s="35"/>
      <c r="AP17" s="35" t="s">
        <v>59</v>
      </c>
      <c r="AQ17" s="25" t="s">
        <v>69</v>
      </c>
      <c r="AR17" s="1"/>
      <c r="AS17" t="str">
        <f t="shared" si="0"/>
        <v/>
      </c>
    </row>
    <row r="18" spans="1:45" ht="96" x14ac:dyDescent="0.2">
      <c r="A18" s="97"/>
      <c r="B18" s="1">
        <v>99</v>
      </c>
      <c r="C18" s="1" t="s">
        <v>205</v>
      </c>
      <c r="D18" s="1" t="s">
        <v>206</v>
      </c>
      <c r="E18" s="1" t="s">
        <v>207</v>
      </c>
      <c r="F18" s="1" t="s">
        <v>208</v>
      </c>
      <c r="G18" s="3">
        <v>2017</v>
      </c>
      <c r="H18" s="1" t="s">
        <v>209</v>
      </c>
      <c r="I18" s="35" t="s">
        <v>63</v>
      </c>
      <c r="J18" s="1"/>
      <c r="K18" s="35">
        <v>32</v>
      </c>
      <c r="L18" s="35">
        <v>3</v>
      </c>
      <c r="M18" s="1" t="s">
        <v>55</v>
      </c>
      <c r="N18" s="35">
        <v>16</v>
      </c>
      <c r="O18" s="1" t="s">
        <v>210</v>
      </c>
      <c r="P18" s="1" t="s">
        <v>55</v>
      </c>
      <c r="Q18" s="35" t="s">
        <v>55</v>
      </c>
      <c r="R18" s="35">
        <v>7</v>
      </c>
      <c r="S18" s="1" t="s">
        <v>211</v>
      </c>
      <c r="T18" s="1" t="s">
        <v>55</v>
      </c>
      <c r="U18" s="35" t="s">
        <v>55</v>
      </c>
      <c r="V18" s="4" t="s">
        <v>212</v>
      </c>
      <c r="W18" s="35" t="s">
        <v>63</v>
      </c>
      <c r="X18" s="1" t="s">
        <v>55</v>
      </c>
      <c r="Y18" s="35" t="s">
        <v>55</v>
      </c>
      <c r="Z18" s="1"/>
      <c r="AA18" s="35" t="s">
        <v>55</v>
      </c>
      <c r="AB18" s="25" t="s">
        <v>55</v>
      </c>
      <c r="AC18" s="1" t="s">
        <v>213</v>
      </c>
      <c r="AD18" s="1" t="s">
        <v>214</v>
      </c>
      <c r="AE18" s="1" t="s">
        <v>215</v>
      </c>
      <c r="AF18" s="35" t="s">
        <v>63</v>
      </c>
      <c r="AG18" s="35" t="s">
        <v>59</v>
      </c>
      <c r="AH18" s="35" t="s">
        <v>59</v>
      </c>
      <c r="AI18" s="25" t="s">
        <v>59</v>
      </c>
      <c r="AJ18" s="49" t="s">
        <v>59</v>
      </c>
      <c r="AK18" s="35"/>
      <c r="AL18" s="35" t="s">
        <v>59</v>
      </c>
      <c r="AM18" s="35" t="s">
        <v>59</v>
      </c>
      <c r="AN18" s="35" t="s">
        <v>93</v>
      </c>
      <c r="AO18" s="35"/>
      <c r="AP18" s="35" t="s">
        <v>59</v>
      </c>
      <c r="AQ18" s="25" t="s">
        <v>81</v>
      </c>
      <c r="AR18" s="1"/>
      <c r="AS18" t="str">
        <f t="shared" si="0"/>
        <v/>
      </c>
    </row>
    <row r="19" spans="1:45" ht="80" x14ac:dyDescent="0.2">
      <c r="A19" s="97"/>
      <c r="B19" s="1">
        <v>46</v>
      </c>
      <c r="C19" s="1" t="s">
        <v>216</v>
      </c>
      <c r="D19" s="1" t="s">
        <v>217</v>
      </c>
      <c r="E19" s="2" t="s">
        <v>218</v>
      </c>
      <c r="F19" s="1" t="s">
        <v>72</v>
      </c>
      <c r="G19" s="3">
        <v>2021</v>
      </c>
      <c r="H19" s="1" t="s">
        <v>219</v>
      </c>
      <c r="I19" s="35" t="s">
        <v>63</v>
      </c>
      <c r="J19" s="1"/>
      <c r="K19" s="35">
        <v>50</v>
      </c>
      <c r="L19" s="35" t="s">
        <v>55</v>
      </c>
      <c r="M19" s="1" t="s">
        <v>55</v>
      </c>
      <c r="N19" s="35">
        <v>10</v>
      </c>
      <c r="O19" s="1" t="s">
        <v>220</v>
      </c>
      <c r="P19" s="1" t="s">
        <v>58</v>
      </c>
      <c r="Q19" s="35" t="s">
        <v>63</v>
      </c>
      <c r="R19" s="35">
        <v>12</v>
      </c>
      <c r="S19" s="1" t="s">
        <v>221</v>
      </c>
      <c r="T19" s="1" t="s">
        <v>55</v>
      </c>
      <c r="U19" s="35" t="s">
        <v>222</v>
      </c>
      <c r="V19" s="4" t="s">
        <v>223</v>
      </c>
      <c r="W19" s="35" t="s">
        <v>63</v>
      </c>
      <c r="X19" s="1" t="s">
        <v>104</v>
      </c>
      <c r="Y19" s="35" t="s">
        <v>224</v>
      </c>
      <c r="Z19" s="1" t="s">
        <v>225</v>
      </c>
      <c r="AA19" s="35" t="s">
        <v>55</v>
      </c>
      <c r="AB19" s="25" t="s">
        <v>55</v>
      </c>
      <c r="AC19" s="1" t="s">
        <v>226</v>
      </c>
      <c r="AD19" s="1" t="s">
        <v>66</v>
      </c>
      <c r="AE19" s="1" t="s">
        <v>227</v>
      </c>
      <c r="AF19" s="35" t="s">
        <v>63</v>
      </c>
      <c r="AG19" s="35" t="s">
        <v>63</v>
      </c>
      <c r="AH19" s="35" t="s">
        <v>59</v>
      </c>
      <c r="AI19" s="25" t="s">
        <v>59</v>
      </c>
      <c r="AJ19" s="49" t="s">
        <v>59</v>
      </c>
      <c r="AK19" s="35"/>
      <c r="AL19" s="35" t="s">
        <v>59</v>
      </c>
      <c r="AM19" s="35" t="s">
        <v>59</v>
      </c>
      <c r="AN19" s="35" t="s">
        <v>93</v>
      </c>
      <c r="AO19" s="35"/>
      <c r="AP19" s="35" t="s">
        <v>59</v>
      </c>
      <c r="AQ19" s="25" t="s">
        <v>81</v>
      </c>
      <c r="AR19" s="1"/>
      <c r="AS19" t="str">
        <f t="shared" si="0"/>
        <v/>
      </c>
    </row>
    <row r="20" spans="1:45" ht="64" x14ac:dyDescent="0.2">
      <c r="A20" s="97"/>
      <c r="B20" s="1">
        <v>87</v>
      </c>
      <c r="C20" s="1" t="s">
        <v>228</v>
      </c>
      <c r="D20" s="1" t="s">
        <v>229</v>
      </c>
      <c r="E20" s="1" t="s">
        <v>230</v>
      </c>
      <c r="F20" s="1" t="s">
        <v>53</v>
      </c>
      <c r="G20" s="3">
        <v>2023</v>
      </c>
      <c r="H20" s="1" t="s">
        <v>209</v>
      </c>
      <c r="I20" s="35" t="s">
        <v>63</v>
      </c>
      <c r="J20" s="1"/>
      <c r="K20" s="35">
        <v>32</v>
      </c>
      <c r="L20" s="35" t="s">
        <v>55</v>
      </c>
      <c r="M20" s="1" t="s">
        <v>55</v>
      </c>
      <c r="N20" s="35">
        <v>16</v>
      </c>
      <c r="O20" s="1" t="s">
        <v>55</v>
      </c>
      <c r="P20" s="1" t="s">
        <v>58</v>
      </c>
      <c r="Q20" s="35" t="s">
        <v>55</v>
      </c>
      <c r="R20" s="35">
        <v>14</v>
      </c>
      <c r="S20" s="1" t="s">
        <v>231</v>
      </c>
      <c r="T20" s="1" t="s">
        <v>55</v>
      </c>
      <c r="U20" s="35" t="s">
        <v>222</v>
      </c>
      <c r="V20" s="4" t="s">
        <v>232</v>
      </c>
      <c r="W20" s="35" t="s">
        <v>63</v>
      </c>
      <c r="X20" s="1" t="s">
        <v>136</v>
      </c>
      <c r="Y20" s="35" t="s">
        <v>59</v>
      </c>
      <c r="Z20" s="1"/>
      <c r="AA20" s="35" t="s">
        <v>55</v>
      </c>
      <c r="AB20" s="25" t="s">
        <v>55</v>
      </c>
      <c r="AC20" s="1" t="s">
        <v>120</v>
      </c>
      <c r="AD20" s="1" t="s">
        <v>192</v>
      </c>
      <c r="AE20" s="1" t="s">
        <v>193</v>
      </c>
      <c r="AF20" s="35" t="s">
        <v>63</v>
      </c>
      <c r="AG20" s="35" t="s">
        <v>59</v>
      </c>
      <c r="AH20" s="35" t="s">
        <v>63</v>
      </c>
      <c r="AI20" s="25" t="s">
        <v>59</v>
      </c>
      <c r="AJ20" s="49" t="s">
        <v>59</v>
      </c>
      <c r="AK20" s="35"/>
      <c r="AL20" s="35" t="s">
        <v>59</v>
      </c>
      <c r="AM20" s="35" t="s">
        <v>59</v>
      </c>
      <c r="AN20" s="35" t="s">
        <v>93</v>
      </c>
      <c r="AO20" s="35"/>
      <c r="AP20" s="35" t="s">
        <v>59</v>
      </c>
      <c r="AQ20" s="25" t="s">
        <v>94</v>
      </c>
      <c r="AR20" s="1"/>
      <c r="AS20" t="str">
        <f t="shared" si="0"/>
        <v/>
      </c>
    </row>
    <row r="21" spans="1:45" ht="32" x14ac:dyDescent="0.2">
      <c r="A21" s="97"/>
      <c r="B21" s="1">
        <v>13</v>
      </c>
      <c r="C21" s="1" t="s">
        <v>233</v>
      </c>
      <c r="D21" s="1" t="s">
        <v>234</v>
      </c>
      <c r="E21" s="2" t="s">
        <v>235</v>
      </c>
      <c r="F21" s="1" t="s">
        <v>53</v>
      </c>
      <c r="G21" s="3">
        <v>2022</v>
      </c>
      <c r="H21" s="1" t="s">
        <v>236</v>
      </c>
      <c r="I21" s="35" t="s">
        <v>63</v>
      </c>
      <c r="J21" s="1"/>
      <c r="K21" s="35">
        <v>20</v>
      </c>
      <c r="L21" s="35" t="s">
        <v>55</v>
      </c>
      <c r="M21" s="1" t="s">
        <v>55</v>
      </c>
      <c r="N21" s="35">
        <v>29</v>
      </c>
      <c r="O21" s="1" t="s">
        <v>55</v>
      </c>
      <c r="P21" s="1" t="s">
        <v>55</v>
      </c>
      <c r="Q21" s="35" t="s">
        <v>59</v>
      </c>
      <c r="R21" s="35">
        <v>6</v>
      </c>
      <c r="S21" s="1" t="s">
        <v>237</v>
      </c>
      <c r="T21" s="1" t="s">
        <v>55</v>
      </c>
      <c r="U21" s="35" t="s">
        <v>55</v>
      </c>
      <c r="V21" s="4" t="s">
        <v>238</v>
      </c>
      <c r="W21" s="35" t="s">
        <v>59</v>
      </c>
      <c r="X21" s="1" t="s">
        <v>239</v>
      </c>
      <c r="Y21" s="35" t="s">
        <v>59</v>
      </c>
      <c r="Z21" s="1"/>
      <c r="AA21" s="35">
        <v>2.6</v>
      </c>
      <c r="AB21" s="25">
        <v>25</v>
      </c>
      <c r="AC21" s="1" t="s">
        <v>240</v>
      </c>
      <c r="AD21" s="1" t="s">
        <v>107</v>
      </c>
      <c r="AE21" s="1" t="s">
        <v>241</v>
      </c>
      <c r="AF21" s="35" t="s">
        <v>63</v>
      </c>
      <c r="AG21" s="35" t="s">
        <v>63</v>
      </c>
      <c r="AH21" s="35" t="s">
        <v>63</v>
      </c>
      <c r="AI21" s="25" t="s">
        <v>59</v>
      </c>
      <c r="AJ21" s="49" t="s">
        <v>59</v>
      </c>
      <c r="AK21" s="35"/>
      <c r="AL21" s="35" t="s">
        <v>59</v>
      </c>
      <c r="AM21" s="35" t="s">
        <v>63</v>
      </c>
      <c r="AN21" s="35"/>
      <c r="AO21" s="35"/>
      <c r="AP21" s="35" t="s">
        <v>59</v>
      </c>
      <c r="AQ21" s="26" t="s">
        <v>81</v>
      </c>
      <c r="AR21" s="1"/>
      <c r="AS21" t="str">
        <f t="shared" si="0"/>
        <v/>
      </c>
    </row>
    <row r="22" spans="1:45" ht="64" x14ac:dyDescent="0.2">
      <c r="A22" s="97"/>
      <c r="B22" s="1">
        <v>14</v>
      </c>
      <c r="C22" s="1" t="s">
        <v>242</v>
      </c>
      <c r="D22" s="1" t="s">
        <v>243</v>
      </c>
      <c r="E22" s="12" t="s">
        <v>244</v>
      </c>
      <c r="F22" s="1" t="s">
        <v>245</v>
      </c>
      <c r="G22" s="3">
        <v>2023</v>
      </c>
      <c r="H22" s="1" t="s">
        <v>246</v>
      </c>
      <c r="I22" s="35" t="s">
        <v>63</v>
      </c>
      <c r="J22" s="1"/>
      <c r="K22" s="35">
        <v>100</v>
      </c>
      <c r="L22" s="35" t="s">
        <v>55</v>
      </c>
      <c r="M22" s="1" t="s">
        <v>247</v>
      </c>
      <c r="N22" s="35">
        <v>151</v>
      </c>
      <c r="O22" s="1" t="s">
        <v>248</v>
      </c>
      <c r="P22" s="1" t="s">
        <v>186</v>
      </c>
      <c r="Q22" s="35" t="s">
        <v>59</v>
      </c>
      <c r="R22" s="35">
        <v>4</v>
      </c>
      <c r="S22" s="1" t="s">
        <v>249</v>
      </c>
      <c r="T22" s="1" t="s">
        <v>250</v>
      </c>
      <c r="U22" s="35" t="s">
        <v>55</v>
      </c>
      <c r="V22" s="4" t="s">
        <v>251</v>
      </c>
      <c r="W22" s="35" t="s">
        <v>63</v>
      </c>
      <c r="X22" s="1" t="s">
        <v>252</v>
      </c>
      <c r="Y22" s="35" t="s">
        <v>253</v>
      </c>
      <c r="Z22" s="1" t="s">
        <v>254</v>
      </c>
      <c r="AA22" s="35">
        <v>30</v>
      </c>
      <c r="AB22" s="25">
        <v>0</v>
      </c>
      <c r="AC22" s="1" t="s">
        <v>255</v>
      </c>
      <c r="AD22" s="1" t="s">
        <v>66</v>
      </c>
      <c r="AE22" s="1" t="s">
        <v>256</v>
      </c>
      <c r="AF22" s="35" t="s">
        <v>63</v>
      </c>
      <c r="AG22" s="35" t="s">
        <v>59</v>
      </c>
      <c r="AH22" s="35" t="s">
        <v>59</v>
      </c>
      <c r="AI22" s="25" t="s">
        <v>59</v>
      </c>
      <c r="AJ22" s="49" t="s">
        <v>59</v>
      </c>
      <c r="AK22" s="35"/>
      <c r="AL22" s="35" t="s">
        <v>59</v>
      </c>
      <c r="AM22" s="35" t="s">
        <v>59</v>
      </c>
      <c r="AN22" s="35" t="s">
        <v>68</v>
      </c>
      <c r="AO22" s="35"/>
      <c r="AP22" s="35" t="s">
        <v>59</v>
      </c>
      <c r="AQ22" s="25" t="s">
        <v>81</v>
      </c>
      <c r="AR22" s="1"/>
      <c r="AS22" t="str">
        <f t="shared" si="0"/>
        <v/>
      </c>
    </row>
    <row r="23" spans="1:45" ht="144" x14ac:dyDescent="0.2">
      <c r="A23" s="97"/>
      <c r="B23" s="1">
        <v>85</v>
      </c>
      <c r="C23" s="1" t="s">
        <v>257</v>
      </c>
      <c r="D23" s="1" t="s">
        <v>258</v>
      </c>
      <c r="E23" s="1" t="s">
        <v>259</v>
      </c>
      <c r="F23" s="1" t="s">
        <v>53</v>
      </c>
      <c r="G23" s="3">
        <v>2018</v>
      </c>
      <c r="H23" s="1" t="s">
        <v>54</v>
      </c>
      <c r="I23" s="35" t="s">
        <v>55</v>
      </c>
      <c r="J23" s="1"/>
      <c r="K23" s="35" t="s">
        <v>55</v>
      </c>
      <c r="L23" s="35" t="s">
        <v>55</v>
      </c>
      <c r="M23" s="1" t="s">
        <v>55</v>
      </c>
      <c r="N23" s="35">
        <v>4</v>
      </c>
      <c r="O23" s="1" t="s">
        <v>260</v>
      </c>
      <c r="P23" s="1" t="s">
        <v>58</v>
      </c>
      <c r="Q23" s="35" t="s">
        <v>63</v>
      </c>
      <c r="R23" s="35">
        <v>3</v>
      </c>
      <c r="S23" s="1" t="s">
        <v>261</v>
      </c>
      <c r="T23" s="1" t="s">
        <v>262</v>
      </c>
      <c r="U23" s="35" t="s">
        <v>55</v>
      </c>
      <c r="V23" s="4" t="s">
        <v>263</v>
      </c>
      <c r="W23" s="35" t="s">
        <v>63</v>
      </c>
      <c r="X23" s="1" t="s">
        <v>222</v>
      </c>
      <c r="Y23" s="35" t="s">
        <v>63</v>
      </c>
      <c r="Z23" s="1" t="s">
        <v>264</v>
      </c>
      <c r="AA23" s="35">
        <v>2</v>
      </c>
      <c r="AB23" s="25">
        <v>0</v>
      </c>
      <c r="AC23" s="1" t="s">
        <v>65</v>
      </c>
      <c r="AD23" s="1" t="s">
        <v>66</v>
      </c>
      <c r="AE23" s="1" t="s">
        <v>67</v>
      </c>
      <c r="AF23" s="35" t="s">
        <v>59</v>
      </c>
      <c r="AG23" s="35" t="s">
        <v>59</v>
      </c>
      <c r="AH23" s="35" t="s">
        <v>59</v>
      </c>
      <c r="AI23" s="25" t="s">
        <v>59</v>
      </c>
      <c r="AJ23" s="49" t="s">
        <v>59</v>
      </c>
      <c r="AK23" s="35"/>
      <c r="AL23" s="35" t="s">
        <v>59</v>
      </c>
      <c r="AM23" s="35" t="s">
        <v>59</v>
      </c>
      <c r="AN23" s="35" t="s">
        <v>68</v>
      </c>
      <c r="AO23" s="35"/>
      <c r="AP23" s="35" t="s">
        <v>59</v>
      </c>
      <c r="AQ23" s="25" t="s">
        <v>69</v>
      </c>
      <c r="AR23" s="1"/>
      <c r="AS23" t="str">
        <f t="shared" si="0"/>
        <v/>
      </c>
    </row>
    <row r="24" spans="1:45" ht="335" x14ac:dyDescent="0.2">
      <c r="A24" s="97"/>
      <c r="B24" s="1">
        <v>7</v>
      </c>
      <c r="C24" s="1" t="s">
        <v>265</v>
      </c>
      <c r="D24" s="1" t="s">
        <v>266</v>
      </c>
      <c r="E24" s="2" t="s">
        <v>267</v>
      </c>
      <c r="F24" s="1" t="s">
        <v>53</v>
      </c>
      <c r="G24" s="3">
        <v>2021</v>
      </c>
      <c r="H24" s="1" t="s">
        <v>54</v>
      </c>
      <c r="I24" s="35" t="s">
        <v>55</v>
      </c>
      <c r="J24" s="1"/>
      <c r="K24" s="35">
        <v>256</v>
      </c>
      <c r="L24" s="35" t="s">
        <v>55</v>
      </c>
      <c r="M24" s="1" t="s">
        <v>55</v>
      </c>
      <c r="N24" s="35">
        <v>8</v>
      </c>
      <c r="O24" s="1" t="s">
        <v>268</v>
      </c>
      <c r="P24" s="1" t="s">
        <v>55</v>
      </c>
      <c r="Q24" s="35" t="s">
        <v>55</v>
      </c>
      <c r="R24" s="35">
        <v>17</v>
      </c>
      <c r="S24" s="1" t="s">
        <v>269</v>
      </c>
      <c r="T24" s="1" t="s">
        <v>55</v>
      </c>
      <c r="U24" s="35" t="s">
        <v>112</v>
      </c>
      <c r="V24" s="4" t="s">
        <v>270</v>
      </c>
      <c r="W24" s="35" t="s">
        <v>59</v>
      </c>
      <c r="X24" s="1" t="s">
        <v>55</v>
      </c>
      <c r="Y24" s="35" t="s">
        <v>63</v>
      </c>
      <c r="Z24" s="1" t="s">
        <v>271</v>
      </c>
      <c r="AA24" s="35" t="s">
        <v>272</v>
      </c>
      <c r="AB24" s="25" t="s">
        <v>55</v>
      </c>
      <c r="AC24" s="1" t="s">
        <v>273</v>
      </c>
      <c r="AD24" s="1" t="s">
        <v>174</v>
      </c>
      <c r="AE24" s="1" t="s">
        <v>274</v>
      </c>
      <c r="AF24" s="35" t="s">
        <v>59</v>
      </c>
      <c r="AG24" s="35" t="s">
        <v>63</v>
      </c>
      <c r="AH24" s="35" t="s">
        <v>59</v>
      </c>
      <c r="AI24" s="25" t="s">
        <v>59</v>
      </c>
      <c r="AJ24" s="49" t="s">
        <v>59</v>
      </c>
      <c r="AK24" s="35"/>
      <c r="AL24" s="35" t="s">
        <v>59</v>
      </c>
      <c r="AM24" s="35" t="s">
        <v>59</v>
      </c>
      <c r="AN24" s="35" t="s">
        <v>93</v>
      </c>
      <c r="AO24" s="35"/>
      <c r="AP24" s="35" t="s">
        <v>59</v>
      </c>
      <c r="AQ24" s="25" t="s">
        <v>69</v>
      </c>
      <c r="AR24" s="1"/>
      <c r="AS24" t="str">
        <f t="shared" si="0"/>
        <v/>
      </c>
    </row>
    <row r="25" spans="1:45" ht="85" x14ac:dyDescent="0.2">
      <c r="A25" s="97"/>
      <c r="B25" s="36">
        <v>152</v>
      </c>
      <c r="C25" s="36" t="s">
        <v>275</v>
      </c>
      <c r="D25" s="36" t="s">
        <v>276</v>
      </c>
      <c r="E25" s="36" t="s">
        <v>277</v>
      </c>
      <c r="F25" s="36" t="s">
        <v>199</v>
      </c>
      <c r="G25" s="58">
        <v>2026</v>
      </c>
      <c r="H25" s="36" t="s">
        <v>236</v>
      </c>
      <c r="I25" s="37" t="s">
        <v>63</v>
      </c>
      <c r="J25" s="36"/>
      <c r="K25" s="37">
        <v>20</v>
      </c>
      <c r="L25" s="37" t="s">
        <v>55</v>
      </c>
      <c r="M25" s="36" t="s">
        <v>55</v>
      </c>
      <c r="N25" s="37">
        <v>51</v>
      </c>
      <c r="O25" s="36" t="s">
        <v>55</v>
      </c>
      <c r="P25" s="40" t="s">
        <v>58</v>
      </c>
      <c r="Q25" s="37" t="s">
        <v>278</v>
      </c>
      <c r="R25" s="37" t="s">
        <v>279</v>
      </c>
      <c r="S25" s="36" t="s">
        <v>280</v>
      </c>
      <c r="T25" s="36" t="s">
        <v>55</v>
      </c>
      <c r="U25" s="37" t="s">
        <v>55</v>
      </c>
      <c r="V25" s="57" t="s">
        <v>281</v>
      </c>
      <c r="W25" s="37" t="s">
        <v>63</v>
      </c>
      <c r="X25" s="36" t="s">
        <v>55</v>
      </c>
      <c r="Y25" s="37" t="s">
        <v>59</v>
      </c>
      <c r="Z25" s="36"/>
      <c r="AA25" s="37" t="s">
        <v>282</v>
      </c>
      <c r="AB25" s="38">
        <v>0</v>
      </c>
      <c r="AC25" s="36" t="s">
        <v>283</v>
      </c>
      <c r="AD25" s="36" t="s">
        <v>284</v>
      </c>
      <c r="AE25" s="36" t="s">
        <v>285</v>
      </c>
      <c r="AF25" s="37" t="s">
        <v>59</v>
      </c>
      <c r="AG25" s="37" t="s">
        <v>59</v>
      </c>
      <c r="AH25" s="37" t="s">
        <v>59</v>
      </c>
      <c r="AI25" s="38" t="s">
        <v>59</v>
      </c>
      <c r="AJ25" s="50" t="s">
        <v>63</v>
      </c>
      <c r="AK25" s="37" t="s">
        <v>286</v>
      </c>
      <c r="AL25" s="37" t="s">
        <v>59</v>
      </c>
      <c r="AM25" s="37" t="s">
        <v>63</v>
      </c>
      <c r="AN25" s="37"/>
      <c r="AO25" s="37"/>
      <c r="AP25" s="37" t="s">
        <v>63</v>
      </c>
      <c r="AQ25" s="38"/>
      <c r="AR25" s="23"/>
      <c r="AS25" t="str">
        <f t="shared" si="0"/>
        <v/>
      </c>
    </row>
    <row r="26" spans="1:45" ht="64" x14ac:dyDescent="0.2">
      <c r="A26" s="97"/>
      <c r="B26" s="114">
        <v>15</v>
      </c>
      <c r="C26" s="114" t="s">
        <v>287</v>
      </c>
      <c r="D26" s="114" t="s">
        <v>288</v>
      </c>
      <c r="E26" s="126" t="s">
        <v>289</v>
      </c>
      <c r="F26" s="114" t="s">
        <v>290</v>
      </c>
      <c r="G26" s="122">
        <v>2016</v>
      </c>
      <c r="H26" s="1" t="s">
        <v>291</v>
      </c>
      <c r="I26" s="35" t="s">
        <v>292</v>
      </c>
      <c r="J26" s="1" t="s">
        <v>293</v>
      </c>
      <c r="K26" s="35">
        <v>40</v>
      </c>
      <c r="L26" s="35">
        <v>4</v>
      </c>
      <c r="M26" s="1" t="s">
        <v>294</v>
      </c>
      <c r="N26" s="35">
        <v>10</v>
      </c>
      <c r="O26" s="1" t="s">
        <v>295</v>
      </c>
      <c r="P26" s="1" t="s">
        <v>58</v>
      </c>
      <c r="Q26" s="35" t="s">
        <v>59</v>
      </c>
      <c r="R26" s="35">
        <v>10</v>
      </c>
      <c r="S26" s="1" t="s">
        <v>296</v>
      </c>
      <c r="T26" s="1" t="s">
        <v>55</v>
      </c>
      <c r="U26" s="35" t="s">
        <v>222</v>
      </c>
      <c r="V26" s="115" t="s">
        <v>297</v>
      </c>
      <c r="W26" s="92" t="s">
        <v>63</v>
      </c>
      <c r="X26" s="114" t="s">
        <v>55</v>
      </c>
      <c r="Y26" s="92" t="s">
        <v>63</v>
      </c>
      <c r="Z26" s="114" t="s">
        <v>105</v>
      </c>
      <c r="AA26" s="92">
        <v>4</v>
      </c>
      <c r="AB26" s="91">
        <v>50</v>
      </c>
      <c r="AC26" s="114" t="s">
        <v>120</v>
      </c>
      <c r="AD26" s="114" t="s">
        <v>66</v>
      </c>
      <c r="AE26" s="1" t="s">
        <v>227</v>
      </c>
      <c r="AF26" s="35" t="s">
        <v>59</v>
      </c>
      <c r="AG26" s="35" t="s">
        <v>63</v>
      </c>
      <c r="AH26" s="35" t="s">
        <v>63</v>
      </c>
      <c r="AI26" s="25" t="s">
        <v>59</v>
      </c>
      <c r="AJ26" s="95" t="s">
        <v>59</v>
      </c>
      <c r="AK26" s="92"/>
      <c r="AL26" s="92" t="s">
        <v>59</v>
      </c>
      <c r="AM26" s="92" t="s">
        <v>59</v>
      </c>
      <c r="AN26" s="92" t="s">
        <v>68</v>
      </c>
      <c r="AO26" s="35"/>
      <c r="AP26" s="92" t="s">
        <v>59</v>
      </c>
      <c r="AQ26" s="91" t="s">
        <v>94</v>
      </c>
      <c r="AR26" s="1"/>
      <c r="AS26" t="str">
        <f t="shared" si="0"/>
        <v/>
      </c>
    </row>
    <row r="27" spans="1:45" ht="64" x14ac:dyDescent="0.2">
      <c r="A27" s="97"/>
      <c r="B27" s="114"/>
      <c r="C27" s="114"/>
      <c r="D27" s="114"/>
      <c r="E27" s="126"/>
      <c r="F27" s="114"/>
      <c r="G27" s="122"/>
      <c r="H27" s="1" t="s">
        <v>298</v>
      </c>
      <c r="I27" s="35" t="s">
        <v>292</v>
      </c>
      <c r="J27" s="1" t="s">
        <v>293</v>
      </c>
      <c r="K27" s="35">
        <v>50</v>
      </c>
      <c r="L27" s="35">
        <v>4</v>
      </c>
      <c r="M27" s="1" t="s">
        <v>299</v>
      </c>
      <c r="N27" s="35">
        <v>5</v>
      </c>
      <c r="O27" s="1" t="s">
        <v>300</v>
      </c>
      <c r="P27" s="1" t="s">
        <v>58</v>
      </c>
      <c r="Q27" s="35" t="s">
        <v>59</v>
      </c>
      <c r="R27" s="35">
        <v>10</v>
      </c>
      <c r="S27" s="1" t="s">
        <v>301</v>
      </c>
      <c r="T27" s="1" t="s">
        <v>55</v>
      </c>
      <c r="U27" s="35" t="s">
        <v>134</v>
      </c>
      <c r="V27" s="115"/>
      <c r="W27" s="92"/>
      <c r="X27" s="114"/>
      <c r="Y27" s="92"/>
      <c r="Z27" s="114"/>
      <c r="AA27" s="92"/>
      <c r="AB27" s="91"/>
      <c r="AC27" s="114"/>
      <c r="AD27" s="114"/>
      <c r="AE27" s="1" t="s">
        <v>302</v>
      </c>
      <c r="AF27" s="35" t="s">
        <v>59</v>
      </c>
      <c r="AG27" s="35" t="s">
        <v>63</v>
      </c>
      <c r="AH27" s="35" t="s">
        <v>63</v>
      </c>
      <c r="AI27" s="25" t="s">
        <v>59</v>
      </c>
      <c r="AJ27" s="95"/>
      <c r="AK27" s="92"/>
      <c r="AL27" s="92"/>
      <c r="AM27" s="92"/>
      <c r="AN27" s="92"/>
      <c r="AO27" s="35"/>
      <c r="AP27" s="92"/>
      <c r="AQ27" s="91"/>
      <c r="AR27" s="1"/>
      <c r="AS27" t="str">
        <f t="shared" si="0"/>
        <v/>
      </c>
    </row>
    <row r="28" spans="1:45" ht="32" x14ac:dyDescent="0.2">
      <c r="A28" s="97"/>
      <c r="B28" s="114"/>
      <c r="C28" s="114"/>
      <c r="D28" s="114"/>
      <c r="E28" s="126"/>
      <c r="F28" s="114"/>
      <c r="G28" s="122"/>
      <c r="H28" s="1" t="s">
        <v>303</v>
      </c>
      <c r="I28" s="35" t="s">
        <v>63</v>
      </c>
      <c r="J28" s="1"/>
      <c r="K28" s="35">
        <v>30</v>
      </c>
      <c r="L28" s="35" t="s">
        <v>55</v>
      </c>
      <c r="M28" s="1" t="s">
        <v>304</v>
      </c>
      <c r="N28" s="35">
        <v>3</v>
      </c>
      <c r="O28" s="1" t="s">
        <v>55</v>
      </c>
      <c r="P28" s="1" t="s">
        <v>58</v>
      </c>
      <c r="Q28" s="35" t="s">
        <v>59</v>
      </c>
      <c r="R28" s="35">
        <v>4</v>
      </c>
      <c r="S28" s="1" t="s">
        <v>305</v>
      </c>
      <c r="T28" s="1" t="s">
        <v>55</v>
      </c>
      <c r="U28" s="35" t="s">
        <v>134</v>
      </c>
      <c r="V28" s="115"/>
      <c r="W28" s="92"/>
      <c r="X28" s="114"/>
      <c r="Y28" s="92"/>
      <c r="Z28" s="114"/>
      <c r="AA28" s="92"/>
      <c r="AB28" s="91"/>
      <c r="AC28" s="114"/>
      <c r="AD28" s="114"/>
      <c r="AE28" s="1" t="s">
        <v>306</v>
      </c>
      <c r="AF28" s="35" t="s">
        <v>63</v>
      </c>
      <c r="AG28" s="35" t="s">
        <v>59</v>
      </c>
      <c r="AH28" s="35" t="s">
        <v>63</v>
      </c>
      <c r="AI28" s="25" t="s">
        <v>59</v>
      </c>
      <c r="AJ28" s="95"/>
      <c r="AK28" s="92"/>
      <c r="AL28" s="92"/>
      <c r="AM28" s="92"/>
      <c r="AN28" s="92"/>
      <c r="AO28" s="35"/>
      <c r="AP28" s="92"/>
      <c r="AQ28" s="91"/>
      <c r="AR28" s="1"/>
      <c r="AS28" t="str">
        <f t="shared" si="0"/>
        <v/>
      </c>
    </row>
    <row r="29" spans="1:45" ht="64" x14ac:dyDescent="0.2">
      <c r="A29" s="97"/>
      <c r="B29" s="1">
        <v>31</v>
      </c>
      <c r="C29" s="1" t="s">
        <v>307</v>
      </c>
      <c r="D29" s="1" t="s">
        <v>308</v>
      </c>
      <c r="E29" s="2" t="s">
        <v>309</v>
      </c>
      <c r="F29" s="1" t="s">
        <v>72</v>
      </c>
      <c r="G29" s="3">
        <v>2023</v>
      </c>
      <c r="H29" s="1" t="s">
        <v>109</v>
      </c>
      <c r="I29" s="35" t="s">
        <v>63</v>
      </c>
      <c r="J29" s="1"/>
      <c r="K29" s="35">
        <v>100</v>
      </c>
      <c r="L29" s="35" t="s">
        <v>55</v>
      </c>
      <c r="M29" s="1" t="s">
        <v>55</v>
      </c>
      <c r="N29" s="35">
        <v>9</v>
      </c>
      <c r="O29" s="1" t="s">
        <v>55</v>
      </c>
      <c r="P29" s="1" t="s">
        <v>58</v>
      </c>
      <c r="Q29" s="35" t="s">
        <v>59</v>
      </c>
      <c r="R29" s="35">
        <v>12</v>
      </c>
      <c r="S29" s="1" t="s">
        <v>310</v>
      </c>
      <c r="T29" s="1" t="s">
        <v>55</v>
      </c>
      <c r="U29" s="35" t="s">
        <v>112</v>
      </c>
      <c r="V29" s="4" t="s">
        <v>311</v>
      </c>
      <c r="W29" s="35" t="s">
        <v>59</v>
      </c>
      <c r="X29" s="1" t="s">
        <v>55</v>
      </c>
      <c r="Y29" s="35" t="s">
        <v>59</v>
      </c>
      <c r="Z29" s="1"/>
      <c r="AA29" s="35">
        <v>5</v>
      </c>
      <c r="AB29" s="25">
        <v>20</v>
      </c>
      <c r="AC29" s="1" t="s">
        <v>312</v>
      </c>
      <c r="AD29" s="1" t="s">
        <v>66</v>
      </c>
      <c r="AE29" s="1" t="s">
        <v>313</v>
      </c>
      <c r="AF29" s="35" t="s">
        <v>59</v>
      </c>
      <c r="AG29" s="35" t="s">
        <v>63</v>
      </c>
      <c r="AH29" s="35" t="s">
        <v>63</v>
      </c>
      <c r="AI29" s="25" t="s">
        <v>59</v>
      </c>
      <c r="AJ29" s="49" t="s">
        <v>59</v>
      </c>
      <c r="AK29" s="35"/>
      <c r="AL29" s="35" t="s">
        <v>59</v>
      </c>
      <c r="AM29" s="35" t="s">
        <v>63</v>
      </c>
      <c r="AN29" s="35"/>
      <c r="AO29" s="35"/>
      <c r="AP29" s="35" t="s">
        <v>59</v>
      </c>
      <c r="AQ29" s="25" t="s">
        <v>81</v>
      </c>
      <c r="AR29" s="1" t="s">
        <v>314</v>
      </c>
      <c r="AS29" t="str">
        <f t="shared" si="0"/>
        <v/>
      </c>
    </row>
    <row r="30" spans="1:45" ht="96" x14ac:dyDescent="0.2">
      <c r="A30" s="97"/>
      <c r="B30" s="1">
        <v>88</v>
      </c>
      <c r="C30" s="1" t="s">
        <v>315</v>
      </c>
      <c r="D30" s="1" t="s">
        <v>316</v>
      </c>
      <c r="E30" s="2" t="s">
        <v>317</v>
      </c>
      <c r="F30" s="1" t="s">
        <v>318</v>
      </c>
      <c r="G30" s="3">
        <v>2024</v>
      </c>
      <c r="H30" s="1" t="s">
        <v>98</v>
      </c>
      <c r="I30" s="35" t="s">
        <v>63</v>
      </c>
      <c r="J30" s="1"/>
      <c r="K30" s="35" t="s">
        <v>319</v>
      </c>
      <c r="L30" s="35" t="s">
        <v>55</v>
      </c>
      <c r="M30" s="1" t="s">
        <v>320</v>
      </c>
      <c r="N30" s="35">
        <v>9</v>
      </c>
      <c r="O30" s="1" t="s">
        <v>55</v>
      </c>
      <c r="P30" s="1" t="s">
        <v>58</v>
      </c>
      <c r="Q30" s="35" t="s">
        <v>63</v>
      </c>
      <c r="R30" s="35">
        <v>6</v>
      </c>
      <c r="S30" s="1" t="s">
        <v>321</v>
      </c>
      <c r="T30" s="1" t="s">
        <v>55</v>
      </c>
      <c r="U30" s="35" t="s">
        <v>55</v>
      </c>
      <c r="V30" s="4" t="s">
        <v>322</v>
      </c>
      <c r="W30" s="35" t="s">
        <v>63</v>
      </c>
      <c r="X30" s="1" t="s">
        <v>119</v>
      </c>
      <c r="Y30" s="35" t="s">
        <v>59</v>
      </c>
      <c r="Z30" s="1"/>
      <c r="AA30" s="35">
        <v>2</v>
      </c>
      <c r="AB30" s="25" t="s">
        <v>323</v>
      </c>
      <c r="AC30" s="1" t="s">
        <v>106</v>
      </c>
      <c r="AD30" s="1" t="s">
        <v>174</v>
      </c>
      <c r="AE30" s="1" t="s">
        <v>324</v>
      </c>
      <c r="AF30" s="35" t="s">
        <v>59</v>
      </c>
      <c r="AG30" s="35" t="s">
        <v>59</v>
      </c>
      <c r="AH30" s="35" t="s">
        <v>63</v>
      </c>
      <c r="AI30" s="25" t="s">
        <v>59</v>
      </c>
      <c r="AJ30" s="49" t="s">
        <v>59</v>
      </c>
      <c r="AK30" s="35"/>
      <c r="AL30" s="35" t="s">
        <v>59</v>
      </c>
      <c r="AM30" s="35" t="s">
        <v>63</v>
      </c>
      <c r="AN30" s="35"/>
      <c r="AO30" s="35"/>
      <c r="AP30" s="35" t="s">
        <v>63</v>
      </c>
      <c r="AQ30" s="25"/>
      <c r="AR30" s="1"/>
      <c r="AS30" t="str">
        <f t="shared" si="0"/>
        <v/>
      </c>
    </row>
    <row r="31" spans="1:45" ht="48" x14ac:dyDescent="0.2">
      <c r="A31" s="97"/>
      <c r="B31" s="1">
        <v>76</v>
      </c>
      <c r="C31" s="1" t="s">
        <v>325</v>
      </c>
      <c r="D31" s="1" t="s">
        <v>326</v>
      </c>
      <c r="E31" s="2" t="s">
        <v>327</v>
      </c>
      <c r="F31" s="1" t="s">
        <v>116</v>
      </c>
      <c r="G31" s="3">
        <v>2021</v>
      </c>
      <c r="H31" s="1" t="s">
        <v>236</v>
      </c>
      <c r="I31" s="35" t="s">
        <v>63</v>
      </c>
      <c r="J31" s="1"/>
      <c r="K31" s="35">
        <v>20</v>
      </c>
      <c r="L31" s="35" t="s">
        <v>55</v>
      </c>
      <c r="M31" s="1" t="s">
        <v>328</v>
      </c>
      <c r="N31" s="35">
        <v>51</v>
      </c>
      <c r="O31" s="1" t="s">
        <v>55</v>
      </c>
      <c r="P31" s="1" t="s">
        <v>55</v>
      </c>
      <c r="Q31" s="35" t="s">
        <v>63</v>
      </c>
      <c r="R31" s="35">
        <v>18</v>
      </c>
      <c r="S31" s="1" t="s">
        <v>105</v>
      </c>
      <c r="T31" s="1" t="s">
        <v>55</v>
      </c>
      <c r="U31" s="35" t="s">
        <v>55</v>
      </c>
      <c r="V31" s="4" t="s">
        <v>329</v>
      </c>
      <c r="W31" s="35" t="s">
        <v>63</v>
      </c>
      <c r="X31" s="1" t="s">
        <v>330</v>
      </c>
      <c r="Y31" s="35" t="s">
        <v>59</v>
      </c>
      <c r="Z31" s="1"/>
      <c r="AA31" s="35" t="s">
        <v>331</v>
      </c>
      <c r="AB31" s="25" t="s">
        <v>331</v>
      </c>
      <c r="AC31" s="1" t="s">
        <v>65</v>
      </c>
      <c r="AD31" s="1" t="s">
        <v>107</v>
      </c>
      <c r="AE31" s="1" t="s">
        <v>332</v>
      </c>
      <c r="AF31" s="35" t="s">
        <v>59</v>
      </c>
      <c r="AG31" s="35" t="s">
        <v>63</v>
      </c>
      <c r="AH31" s="35" t="s">
        <v>59</v>
      </c>
      <c r="AI31" s="25" t="s">
        <v>59</v>
      </c>
      <c r="AJ31" s="49" t="s">
        <v>59</v>
      </c>
      <c r="AK31" s="35"/>
      <c r="AL31" s="35" t="s">
        <v>59</v>
      </c>
      <c r="AM31" s="35" t="s">
        <v>63</v>
      </c>
      <c r="AN31" s="35"/>
      <c r="AO31" s="35"/>
      <c r="AP31" s="35" t="s">
        <v>59</v>
      </c>
      <c r="AQ31" s="26" t="s">
        <v>81</v>
      </c>
      <c r="AR31" s="1"/>
      <c r="AS31" t="str">
        <f t="shared" si="0"/>
        <v/>
      </c>
    </row>
    <row r="32" spans="1:45" ht="144" x14ac:dyDescent="0.2">
      <c r="A32" s="97"/>
      <c r="B32" s="1">
        <v>61</v>
      </c>
      <c r="C32" s="1" t="s">
        <v>333</v>
      </c>
      <c r="D32" s="1" t="s">
        <v>334</v>
      </c>
      <c r="E32" s="1" t="s">
        <v>335</v>
      </c>
      <c r="F32" s="1" t="s">
        <v>86</v>
      </c>
      <c r="G32" s="3">
        <v>2019</v>
      </c>
      <c r="H32" s="1" t="s">
        <v>54</v>
      </c>
      <c r="I32" s="35" t="s">
        <v>55</v>
      </c>
      <c r="J32" s="1"/>
      <c r="K32" s="35" t="s">
        <v>55</v>
      </c>
      <c r="L32" s="35" t="s">
        <v>55</v>
      </c>
      <c r="M32" s="1" t="s">
        <v>55</v>
      </c>
      <c r="N32" s="35">
        <v>8</v>
      </c>
      <c r="O32" s="1" t="s">
        <v>55</v>
      </c>
      <c r="P32" s="1" t="s">
        <v>55</v>
      </c>
      <c r="Q32" s="35" t="s">
        <v>55</v>
      </c>
      <c r="R32" s="35">
        <v>5</v>
      </c>
      <c r="S32" s="1" t="s">
        <v>336</v>
      </c>
      <c r="T32" s="1" t="s">
        <v>55</v>
      </c>
      <c r="U32" s="35" t="s">
        <v>55</v>
      </c>
      <c r="V32" s="4" t="s">
        <v>337</v>
      </c>
      <c r="W32" s="35" t="s">
        <v>59</v>
      </c>
      <c r="X32" s="1" t="s">
        <v>55</v>
      </c>
      <c r="Y32" s="35" t="s">
        <v>63</v>
      </c>
      <c r="Z32" s="1" t="s">
        <v>338</v>
      </c>
      <c r="AA32" s="35" t="s">
        <v>339</v>
      </c>
      <c r="AB32" s="25">
        <v>50</v>
      </c>
      <c r="AC32" s="1" t="s">
        <v>55</v>
      </c>
      <c r="AD32" s="1" t="s">
        <v>66</v>
      </c>
      <c r="AE32" s="1" t="s">
        <v>340</v>
      </c>
      <c r="AF32" s="35" t="s">
        <v>63</v>
      </c>
      <c r="AG32" s="35" t="s">
        <v>59</v>
      </c>
      <c r="AH32" s="35" t="s">
        <v>59</v>
      </c>
      <c r="AI32" s="25" t="s">
        <v>59</v>
      </c>
      <c r="AJ32" s="49" t="s">
        <v>59</v>
      </c>
      <c r="AK32" s="35"/>
      <c r="AL32" s="35" t="s">
        <v>59</v>
      </c>
      <c r="AM32" s="35" t="s">
        <v>59</v>
      </c>
      <c r="AN32" s="35" t="s">
        <v>82</v>
      </c>
      <c r="AO32" s="35"/>
      <c r="AP32" s="35" t="s">
        <v>59</v>
      </c>
      <c r="AQ32" s="25" t="s">
        <v>69</v>
      </c>
      <c r="AR32" s="1"/>
      <c r="AS32" t="str">
        <f t="shared" si="0"/>
        <v/>
      </c>
    </row>
    <row r="33" spans="1:45" ht="64" x14ac:dyDescent="0.2">
      <c r="A33" s="97"/>
      <c r="B33" s="1">
        <v>37</v>
      </c>
      <c r="C33" s="40" t="s">
        <v>341</v>
      </c>
      <c r="D33" s="1" t="s">
        <v>342</v>
      </c>
      <c r="E33" s="2" t="s">
        <v>343</v>
      </c>
      <c r="F33" s="1" t="s">
        <v>318</v>
      </c>
      <c r="G33" s="3">
        <v>2017</v>
      </c>
      <c r="H33" s="1" t="s">
        <v>344</v>
      </c>
      <c r="I33" s="35" t="s">
        <v>63</v>
      </c>
      <c r="J33" s="1"/>
      <c r="K33" s="35" t="s">
        <v>55</v>
      </c>
      <c r="L33" s="35" t="s">
        <v>55</v>
      </c>
      <c r="M33" s="1" t="s">
        <v>345</v>
      </c>
      <c r="N33" s="35" t="s">
        <v>346</v>
      </c>
      <c r="O33" s="1" t="s">
        <v>347</v>
      </c>
      <c r="P33" s="1" t="s">
        <v>348</v>
      </c>
      <c r="Q33" s="35" t="s">
        <v>59</v>
      </c>
      <c r="R33" s="35">
        <v>9</v>
      </c>
      <c r="S33" s="1" t="s">
        <v>349</v>
      </c>
      <c r="T33" s="1" t="s">
        <v>55</v>
      </c>
      <c r="U33" s="35" t="s">
        <v>134</v>
      </c>
      <c r="V33" s="4" t="s">
        <v>350</v>
      </c>
      <c r="W33" s="35" t="s">
        <v>63</v>
      </c>
      <c r="X33" s="1" t="s">
        <v>55</v>
      </c>
      <c r="Y33" s="35" t="s">
        <v>63</v>
      </c>
      <c r="Z33" s="1" t="s">
        <v>150</v>
      </c>
      <c r="AA33" s="35" t="s">
        <v>351</v>
      </c>
      <c r="AB33" s="25">
        <v>0</v>
      </c>
      <c r="AC33" s="1" t="s">
        <v>120</v>
      </c>
      <c r="AD33" s="1" t="s">
        <v>66</v>
      </c>
      <c r="AE33" s="1" t="s">
        <v>352</v>
      </c>
      <c r="AF33" s="35" t="s">
        <v>59</v>
      </c>
      <c r="AG33" s="35" t="s">
        <v>63</v>
      </c>
      <c r="AH33" s="35" t="s">
        <v>59</v>
      </c>
      <c r="AI33" s="25" t="s">
        <v>59</v>
      </c>
      <c r="AJ33" s="49" t="s">
        <v>59</v>
      </c>
      <c r="AK33" s="35"/>
      <c r="AL33" s="35" t="s">
        <v>59</v>
      </c>
      <c r="AM33" s="35" t="s">
        <v>63</v>
      </c>
      <c r="AN33" s="35"/>
      <c r="AO33" s="35"/>
      <c r="AP33" s="35" t="s">
        <v>63</v>
      </c>
      <c r="AQ33" s="25"/>
      <c r="AR33" s="1"/>
      <c r="AS33" t="str">
        <f t="shared" si="0"/>
        <v/>
      </c>
    </row>
    <row r="34" spans="1:45" ht="80" x14ac:dyDescent="0.2">
      <c r="A34" s="97"/>
      <c r="B34" s="1">
        <v>79</v>
      </c>
      <c r="C34" s="1" t="s">
        <v>353</v>
      </c>
      <c r="D34" s="1" t="s">
        <v>354</v>
      </c>
      <c r="E34" s="1" t="s">
        <v>355</v>
      </c>
      <c r="F34" s="1" t="s">
        <v>245</v>
      </c>
      <c r="G34" s="3">
        <v>2024</v>
      </c>
      <c r="H34" s="1" t="s">
        <v>356</v>
      </c>
      <c r="I34" s="35" t="s">
        <v>63</v>
      </c>
      <c r="J34" s="1"/>
      <c r="K34" s="35">
        <v>100</v>
      </c>
      <c r="L34" s="35" t="s">
        <v>55</v>
      </c>
      <c r="M34" s="1" t="s">
        <v>356</v>
      </c>
      <c r="N34" s="35" t="s">
        <v>55</v>
      </c>
      <c r="O34" s="1" t="s">
        <v>55</v>
      </c>
      <c r="P34" s="1" t="s">
        <v>58</v>
      </c>
      <c r="Q34" s="35" t="s">
        <v>59</v>
      </c>
      <c r="R34" s="35">
        <v>14</v>
      </c>
      <c r="S34" s="1" t="s">
        <v>357</v>
      </c>
      <c r="T34" s="1" t="s">
        <v>55</v>
      </c>
      <c r="U34" s="35" t="s">
        <v>55</v>
      </c>
      <c r="V34" s="4" t="s">
        <v>358</v>
      </c>
      <c r="W34" s="35" t="s">
        <v>59</v>
      </c>
      <c r="X34" s="1" t="s">
        <v>359</v>
      </c>
      <c r="Y34" s="35" t="s">
        <v>55</v>
      </c>
      <c r="Z34" s="1"/>
      <c r="AA34" s="35">
        <v>5</v>
      </c>
      <c r="AB34" s="25">
        <v>0</v>
      </c>
      <c r="AC34" s="1" t="s">
        <v>360</v>
      </c>
      <c r="AD34" s="1" t="s">
        <v>66</v>
      </c>
      <c r="AE34" s="1" t="s">
        <v>274</v>
      </c>
      <c r="AF34" s="35" t="s">
        <v>63</v>
      </c>
      <c r="AG34" s="35" t="s">
        <v>59</v>
      </c>
      <c r="AH34" s="35" t="s">
        <v>63</v>
      </c>
      <c r="AI34" s="25" t="s">
        <v>59</v>
      </c>
      <c r="AJ34" s="49" t="s">
        <v>361</v>
      </c>
      <c r="AK34" s="35"/>
      <c r="AL34" s="35" t="s">
        <v>59</v>
      </c>
      <c r="AM34" s="35" t="s">
        <v>59</v>
      </c>
      <c r="AN34" s="35" t="s">
        <v>68</v>
      </c>
      <c r="AO34" s="35"/>
      <c r="AP34" s="35" t="s">
        <v>59</v>
      </c>
      <c r="AQ34" s="25" t="s">
        <v>81</v>
      </c>
      <c r="AR34" s="1"/>
      <c r="AS34" t="str">
        <f t="shared" si="0"/>
        <v/>
      </c>
    </row>
    <row r="35" spans="1:45" ht="240" x14ac:dyDescent="0.2">
      <c r="A35" s="97"/>
      <c r="B35" s="1">
        <v>105</v>
      </c>
      <c r="C35" s="40" t="s">
        <v>362</v>
      </c>
      <c r="D35" s="2" t="s">
        <v>363</v>
      </c>
      <c r="E35" s="2" t="s">
        <v>364</v>
      </c>
      <c r="F35" s="2" t="s">
        <v>53</v>
      </c>
      <c r="G35" s="3">
        <v>2021</v>
      </c>
      <c r="H35" s="1" t="s">
        <v>236</v>
      </c>
      <c r="I35" s="35" t="s">
        <v>63</v>
      </c>
      <c r="J35" s="1"/>
      <c r="K35" s="35">
        <v>20</v>
      </c>
      <c r="L35" s="35" t="s">
        <v>55</v>
      </c>
      <c r="M35" s="1" t="s">
        <v>55</v>
      </c>
      <c r="N35" s="35">
        <v>51</v>
      </c>
      <c r="O35" s="1" t="s">
        <v>55</v>
      </c>
      <c r="P35" s="1" t="s">
        <v>55</v>
      </c>
      <c r="Q35" s="35" t="s">
        <v>63</v>
      </c>
      <c r="R35" s="35" t="s">
        <v>365</v>
      </c>
      <c r="S35" s="1" t="s">
        <v>366</v>
      </c>
      <c r="T35" s="1" t="s">
        <v>55</v>
      </c>
      <c r="U35" s="35" t="s">
        <v>55</v>
      </c>
      <c r="V35" s="4" t="s">
        <v>367</v>
      </c>
      <c r="W35" s="35" t="s">
        <v>63</v>
      </c>
      <c r="X35" s="1" t="s">
        <v>368</v>
      </c>
      <c r="Y35" s="35" t="s">
        <v>59</v>
      </c>
      <c r="Z35" s="1"/>
      <c r="AA35" s="35">
        <v>4</v>
      </c>
      <c r="AB35" s="25">
        <v>50</v>
      </c>
      <c r="AC35" s="1" t="s">
        <v>213</v>
      </c>
      <c r="AD35" s="1" t="s">
        <v>66</v>
      </c>
      <c r="AE35" s="1" t="s">
        <v>369</v>
      </c>
      <c r="AF35" s="35" t="s">
        <v>63</v>
      </c>
      <c r="AG35" s="35" t="s">
        <v>63</v>
      </c>
      <c r="AH35" s="35" t="s">
        <v>59</v>
      </c>
      <c r="AI35" s="25" t="s">
        <v>59</v>
      </c>
      <c r="AJ35" s="49" t="s">
        <v>59</v>
      </c>
      <c r="AK35" s="35"/>
      <c r="AL35" s="35" t="s">
        <v>59</v>
      </c>
      <c r="AM35" s="35" t="s">
        <v>63</v>
      </c>
      <c r="AN35" s="35"/>
      <c r="AO35" s="35"/>
      <c r="AP35" s="35" t="s">
        <v>59</v>
      </c>
      <c r="AQ35" s="26" t="s">
        <v>81</v>
      </c>
      <c r="AR35" s="1"/>
      <c r="AS35" t="str">
        <f t="shared" si="0"/>
        <v/>
      </c>
    </row>
    <row r="36" spans="1:45" ht="224" x14ac:dyDescent="0.2">
      <c r="A36" s="97"/>
      <c r="B36" s="1">
        <v>43</v>
      </c>
      <c r="C36" s="1" t="s">
        <v>370</v>
      </c>
      <c r="D36" s="1" t="s">
        <v>371</v>
      </c>
      <c r="E36" s="2" t="s">
        <v>372</v>
      </c>
      <c r="F36" s="1" t="s">
        <v>53</v>
      </c>
      <c r="G36" s="3">
        <v>2022</v>
      </c>
      <c r="H36" s="1" t="s">
        <v>373</v>
      </c>
      <c r="I36" s="35" t="s">
        <v>63</v>
      </c>
      <c r="J36" s="1"/>
      <c r="K36" s="35">
        <v>90</v>
      </c>
      <c r="L36" s="35" t="s">
        <v>55</v>
      </c>
      <c r="M36" s="1" t="s">
        <v>374</v>
      </c>
      <c r="N36" s="35">
        <v>53</v>
      </c>
      <c r="O36" s="1" t="s">
        <v>375</v>
      </c>
      <c r="P36" s="1" t="s">
        <v>58</v>
      </c>
      <c r="Q36" s="35" t="s">
        <v>59</v>
      </c>
      <c r="R36" s="35">
        <v>4</v>
      </c>
      <c r="S36" s="1" t="s">
        <v>376</v>
      </c>
      <c r="T36" s="1" t="s">
        <v>55</v>
      </c>
      <c r="U36" s="35" t="s">
        <v>55</v>
      </c>
      <c r="V36" s="4" t="s">
        <v>377</v>
      </c>
      <c r="W36" s="35" t="s">
        <v>63</v>
      </c>
      <c r="X36" s="1" t="s">
        <v>55</v>
      </c>
      <c r="Y36" s="35" t="s">
        <v>59</v>
      </c>
      <c r="Z36" s="1"/>
      <c r="AA36" s="35">
        <v>30</v>
      </c>
      <c r="AB36" s="25" t="s">
        <v>55</v>
      </c>
      <c r="AC36" s="1" t="s">
        <v>120</v>
      </c>
      <c r="AD36" s="1" t="s">
        <v>66</v>
      </c>
      <c r="AE36" s="1" t="s">
        <v>332</v>
      </c>
      <c r="AF36" s="35" t="s">
        <v>59</v>
      </c>
      <c r="AG36" s="35" t="s">
        <v>63</v>
      </c>
      <c r="AH36" s="35" t="s">
        <v>59</v>
      </c>
      <c r="AI36" s="25" t="s">
        <v>59</v>
      </c>
      <c r="AJ36" s="49" t="s">
        <v>59</v>
      </c>
      <c r="AK36" s="35"/>
      <c r="AL36" s="35" t="s">
        <v>59</v>
      </c>
      <c r="AM36" s="35" t="s">
        <v>59</v>
      </c>
      <c r="AN36" s="35" t="s">
        <v>93</v>
      </c>
      <c r="AO36" s="35"/>
      <c r="AP36" s="35" t="s">
        <v>59</v>
      </c>
      <c r="AQ36" s="25" t="s">
        <v>94</v>
      </c>
      <c r="AR36" s="1"/>
      <c r="AS36" t="str">
        <f t="shared" si="0"/>
        <v/>
      </c>
    </row>
    <row r="37" spans="1:45" ht="80" x14ac:dyDescent="0.2">
      <c r="A37" s="97"/>
      <c r="B37" s="1">
        <v>58</v>
      </c>
      <c r="C37" s="1" t="s">
        <v>378</v>
      </c>
      <c r="D37" s="1" t="s">
        <v>379</v>
      </c>
      <c r="E37" s="1" t="s">
        <v>380</v>
      </c>
      <c r="F37" s="1" t="s">
        <v>245</v>
      </c>
      <c r="G37" s="3">
        <v>2018</v>
      </c>
      <c r="H37" s="1" t="s">
        <v>54</v>
      </c>
      <c r="I37" s="35" t="s">
        <v>55</v>
      </c>
      <c r="J37" s="1"/>
      <c r="K37" s="35">
        <v>67</v>
      </c>
      <c r="L37" s="35" t="s">
        <v>55</v>
      </c>
      <c r="M37" s="1" t="s">
        <v>381</v>
      </c>
      <c r="N37" s="35">
        <v>1</v>
      </c>
      <c r="O37" s="1" t="s">
        <v>55</v>
      </c>
      <c r="P37" s="1" t="s">
        <v>58</v>
      </c>
      <c r="Q37" s="35" t="s">
        <v>59</v>
      </c>
      <c r="R37" s="35">
        <v>11</v>
      </c>
      <c r="S37" s="1" t="s">
        <v>382</v>
      </c>
      <c r="T37" s="1" t="s">
        <v>55</v>
      </c>
      <c r="U37" s="35" t="s">
        <v>55</v>
      </c>
      <c r="V37" s="4" t="s">
        <v>383</v>
      </c>
      <c r="W37" s="35" t="s">
        <v>59</v>
      </c>
      <c r="X37" s="1" t="s">
        <v>55</v>
      </c>
      <c r="Y37" s="35" t="s">
        <v>63</v>
      </c>
      <c r="Z37" s="1" t="s">
        <v>55</v>
      </c>
      <c r="AA37" s="35">
        <v>0.95</v>
      </c>
      <c r="AB37" s="25">
        <v>90</v>
      </c>
      <c r="AC37" s="1" t="s">
        <v>55</v>
      </c>
      <c r="AD37" s="1" t="s">
        <v>384</v>
      </c>
      <c r="AE37" s="1" t="s">
        <v>385</v>
      </c>
      <c r="AF37" s="35" t="s">
        <v>63</v>
      </c>
      <c r="AG37" s="35" t="s">
        <v>63</v>
      </c>
      <c r="AH37" s="35" t="s">
        <v>59</v>
      </c>
      <c r="AI37" s="25" t="s">
        <v>59</v>
      </c>
      <c r="AJ37" s="51" t="s">
        <v>386</v>
      </c>
      <c r="AK37" s="34" t="s">
        <v>387</v>
      </c>
      <c r="AL37" s="35" t="s">
        <v>59</v>
      </c>
      <c r="AM37" s="35" t="s">
        <v>63</v>
      </c>
      <c r="AN37" s="35"/>
      <c r="AO37" s="35"/>
      <c r="AP37" s="35" t="s">
        <v>59</v>
      </c>
      <c r="AQ37" s="25" t="s">
        <v>69</v>
      </c>
      <c r="AR37" s="1"/>
      <c r="AS37" t="str">
        <f t="shared" si="0"/>
        <v/>
      </c>
    </row>
    <row r="38" spans="1:45" ht="96" x14ac:dyDescent="0.2">
      <c r="A38" s="97"/>
      <c r="B38" s="1">
        <v>62</v>
      </c>
      <c r="C38" s="1" t="s">
        <v>388</v>
      </c>
      <c r="D38" s="1" t="s">
        <v>389</v>
      </c>
      <c r="E38" s="2" t="s">
        <v>390</v>
      </c>
      <c r="F38" s="1" t="s">
        <v>318</v>
      </c>
      <c r="G38" s="3">
        <v>2023</v>
      </c>
      <c r="H38" s="1" t="s">
        <v>54</v>
      </c>
      <c r="I38" s="35" t="s">
        <v>55</v>
      </c>
      <c r="J38" s="1"/>
      <c r="K38" s="35">
        <v>15</v>
      </c>
      <c r="L38" s="35" t="s">
        <v>55</v>
      </c>
      <c r="M38" s="1" t="s">
        <v>391</v>
      </c>
      <c r="N38" s="35">
        <v>8</v>
      </c>
      <c r="O38" s="1" t="s">
        <v>392</v>
      </c>
      <c r="P38" s="1" t="s">
        <v>58</v>
      </c>
      <c r="Q38" s="35" t="s">
        <v>63</v>
      </c>
      <c r="R38" s="35">
        <v>18</v>
      </c>
      <c r="S38" s="1" t="s">
        <v>393</v>
      </c>
      <c r="T38" s="1" t="s">
        <v>55</v>
      </c>
      <c r="U38" s="35" t="s">
        <v>222</v>
      </c>
      <c r="V38" s="4" t="s">
        <v>394</v>
      </c>
      <c r="W38" s="35" t="s">
        <v>63</v>
      </c>
      <c r="X38" s="1" t="s">
        <v>119</v>
      </c>
      <c r="Y38" s="35" t="s">
        <v>59</v>
      </c>
      <c r="Z38" s="1"/>
      <c r="AA38" s="35" t="s">
        <v>395</v>
      </c>
      <c r="AB38" s="25">
        <v>50</v>
      </c>
      <c r="AC38" s="1" t="s">
        <v>120</v>
      </c>
      <c r="AD38" s="1" t="s">
        <v>121</v>
      </c>
      <c r="AE38" s="1" t="s">
        <v>332</v>
      </c>
      <c r="AF38" s="35" t="s">
        <v>63</v>
      </c>
      <c r="AG38" s="35" t="s">
        <v>59</v>
      </c>
      <c r="AH38" s="35" t="s">
        <v>59</v>
      </c>
      <c r="AI38" s="25" t="s">
        <v>59</v>
      </c>
      <c r="AJ38" s="49" t="s">
        <v>59</v>
      </c>
      <c r="AK38" s="35"/>
      <c r="AL38" s="35" t="s">
        <v>59</v>
      </c>
      <c r="AM38" s="35" t="s">
        <v>63</v>
      </c>
      <c r="AN38" s="35"/>
      <c r="AO38" s="35"/>
      <c r="AP38" s="35" t="s">
        <v>59</v>
      </c>
      <c r="AQ38" s="25" t="s">
        <v>69</v>
      </c>
      <c r="AR38" s="1"/>
      <c r="AS38" t="str">
        <f t="shared" si="0"/>
        <v/>
      </c>
    </row>
    <row r="39" spans="1:45" ht="80" x14ac:dyDescent="0.2">
      <c r="A39" s="97"/>
      <c r="B39" s="1">
        <v>115</v>
      </c>
      <c r="C39" s="1" t="s">
        <v>396</v>
      </c>
      <c r="D39" s="1" t="s">
        <v>397</v>
      </c>
      <c r="E39" s="1" t="s">
        <v>398</v>
      </c>
      <c r="F39" s="1" t="s">
        <v>290</v>
      </c>
      <c r="G39" s="3">
        <v>2019</v>
      </c>
      <c r="H39" s="1" t="s">
        <v>399</v>
      </c>
      <c r="I39" s="35" t="s">
        <v>63</v>
      </c>
      <c r="J39" s="1"/>
      <c r="K39" s="35" t="s">
        <v>55</v>
      </c>
      <c r="L39" s="35" t="s">
        <v>55</v>
      </c>
      <c r="M39" s="1" t="s">
        <v>55</v>
      </c>
      <c r="N39" s="35" t="s">
        <v>55</v>
      </c>
      <c r="O39" s="1" t="s">
        <v>55</v>
      </c>
      <c r="P39" s="1" t="s">
        <v>55</v>
      </c>
      <c r="Q39" s="35" t="s">
        <v>55</v>
      </c>
      <c r="R39" s="35" t="s">
        <v>400</v>
      </c>
      <c r="S39" s="1" t="s">
        <v>401</v>
      </c>
      <c r="T39" s="1" t="s">
        <v>55</v>
      </c>
      <c r="U39" s="35" t="s">
        <v>55</v>
      </c>
      <c r="V39" s="4" t="s">
        <v>402</v>
      </c>
      <c r="W39" s="35" t="s">
        <v>59</v>
      </c>
      <c r="X39" s="1" t="s">
        <v>104</v>
      </c>
      <c r="Y39" s="35" t="s">
        <v>63</v>
      </c>
      <c r="Z39" s="1" t="s">
        <v>403</v>
      </c>
      <c r="AA39" s="35" t="s">
        <v>55</v>
      </c>
      <c r="AB39" s="25" t="s">
        <v>55</v>
      </c>
      <c r="AC39" s="1" t="s">
        <v>120</v>
      </c>
      <c r="AD39" s="1" t="s">
        <v>384</v>
      </c>
      <c r="AE39" s="1" t="s">
        <v>67</v>
      </c>
      <c r="AF39" s="35" t="s">
        <v>59</v>
      </c>
      <c r="AG39" s="35" t="s">
        <v>59</v>
      </c>
      <c r="AH39" s="35" t="s">
        <v>63</v>
      </c>
      <c r="AI39" s="25" t="s">
        <v>59</v>
      </c>
      <c r="AJ39" s="49" t="s">
        <v>59</v>
      </c>
      <c r="AK39" s="35"/>
      <c r="AL39" s="35" t="s">
        <v>59</v>
      </c>
      <c r="AM39" s="35" t="s">
        <v>59</v>
      </c>
      <c r="AN39" s="35" t="s">
        <v>93</v>
      </c>
      <c r="AO39" s="35"/>
      <c r="AP39" s="35" t="s">
        <v>59</v>
      </c>
      <c r="AQ39" s="25" t="s">
        <v>94</v>
      </c>
      <c r="AR39" s="1"/>
      <c r="AS39" t="str">
        <f t="shared" si="0"/>
        <v/>
      </c>
    </row>
    <row r="40" spans="1:45" ht="48" x14ac:dyDescent="0.2">
      <c r="A40" s="97"/>
      <c r="B40" s="1">
        <v>112</v>
      </c>
      <c r="C40" s="1" t="s">
        <v>404</v>
      </c>
      <c r="D40" s="1" t="s">
        <v>405</v>
      </c>
      <c r="E40" s="2" t="s">
        <v>406</v>
      </c>
      <c r="F40" s="2" t="s">
        <v>407</v>
      </c>
      <c r="G40" s="3">
        <v>2020</v>
      </c>
      <c r="H40" s="1" t="s">
        <v>54</v>
      </c>
      <c r="I40" s="35" t="s">
        <v>55</v>
      </c>
      <c r="J40" s="1"/>
      <c r="K40" s="35">
        <v>200</v>
      </c>
      <c r="L40" s="39" t="s">
        <v>55</v>
      </c>
      <c r="M40" s="40" t="s">
        <v>55</v>
      </c>
      <c r="N40" s="39">
        <v>4</v>
      </c>
      <c r="O40" s="40" t="s">
        <v>408</v>
      </c>
      <c r="P40" s="40" t="s">
        <v>55</v>
      </c>
      <c r="Q40" s="35" t="s">
        <v>59</v>
      </c>
      <c r="R40" s="35">
        <v>8</v>
      </c>
      <c r="S40" s="1" t="s">
        <v>409</v>
      </c>
      <c r="T40" s="40" t="s">
        <v>55</v>
      </c>
      <c r="U40" s="35" t="s">
        <v>55</v>
      </c>
      <c r="V40" s="4" t="s">
        <v>410</v>
      </c>
      <c r="W40" s="35" t="s">
        <v>63</v>
      </c>
      <c r="X40" s="40" t="s">
        <v>55</v>
      </c>
      <c r="Y40" s="35" t="s">
        <v>63</v>
      </c>
      <c r="Z40" s="1" t="s">
        <v>411</v>
      </c>
      <c r="AA40" s="35">
        <v>2</v>
      </c>
      <c r="AB40" s="25">
        <v>50</v>
      </c>
      <c r="AC40" s="1" t="s">
        <v>412</v>
      </c>
      <c r="AD40" s="1" t="s">
        <v>66</v>
      </c>
      <c r="AE40" s="1" t="s">
        <v>413</v>
      </c>
      <c r="AF40" s="35" t="s">
        <v>63</v>
      </c>
      <c r="AG40" s="35" t="s">
        <v>59</v>
      </c>
      <c r="AH40" s="35" t="s">
        <v>59</v>
      </c>
      <c r="AI40" s="25" t="s">
        <v>59</v>
      </c>
      <c r="AJ40" s="49" t="s">
        <v>59</v>
      </c>
      <c r="AK40" s="35"/>
      <c r="AL40" s="35" t="s">
        <v>59</v>
      </c>
      <c r="AM40" s="35" t="s">
        <v>59</v>
      </c>
      <c r="AN40" s="35" t="s">
        <v>68</v>
      </c>
      <c r="AO40" s="35"/>
      <c r="AP40" s="35" t="s">
        <v>59</v>
      </c>
      <c r="AQ40" s="25" t="s">
        <v>69</v>
      </c>
      <c r="AR40" s="1"/>
      <c r="AS40" t="str">
        <f t="shared" si="0"/>
        <v/>
      </c>
    </row>
    <row r="41" spans="1:45" ht="80" x14ac:dyDescent="0.2">
      <c r="A41" s="97"/>
      <c r="B41" s="1">
        <v>103</v>
      </c>
      <c r="C41" s="1" t="s">
        <v>414</v>
      </c>
      <c r="D41" s="1" t="s">
        <v>415</v>
      </c>
      <c r="E41" s="1" t="s">
        <v>416</v>
      </c>
      <c r="F41" s="1" t="s">
        <v>417</v>
      </c>
      <c r="G41" s="3">
        <v>2023</v>
      </c>
      <c r="H41" s="1" t="s">
        <v>54</v>
      </c>
      <c r="I41" s="35" t="s">
        <v>55</v>
      </c>
      <c r="J41" s="1"/>
      <c r="K41" s="35">
        <v>16</v>
      </c>
      <c r="L41" s="35" t="s">
        <v>55</v>
      </c>
      <c r="M41" s="1" t="s">
        <v>55</v>
      </c>
      <c r="N41" s="35">
        <v>1</v>
      </c>
      <c r="O41" s="1" t="s">
        <v>418</v>
      </c>
      <c r="P41" s="1" t="s">
        <v>186</v>
      </c>
      <c r="Q41" s="35" t="s">
        <v>59</v>
      </c>
      <c r="R41" s="35">
        <v>5</v>
      </c>
      <c r="S41" s="1" t="s">
        <v>419</v>
      </c>
      <c r="T41" s="1" t="s">
        <v>55</v>
      </c>
      <c r="U41" s="35" t="s">
        <v>147</v>
      </c>
      <c r="V41" s="4" t="s">
        <v>420</v>
      </c>
      <c r="W41" s="35" t="s">
        <v>59</v>
      </c>
      <c r="X41" s="1" t="s">
        <v>421</v>
      </c>
      <c r="Y41" s="35" t="s">
        <v>63</v>
      </c>
      <c r="Z41" s="1" t="s">
        <v>422</v>
      </c>
      <c r="AA41" s="35">
        <v>2</v>
      </c>
      <c r="AB41" s="25">
        <v>50</v>
      </c>
      <c r="AC41" s="1" t="s">
        <v>360</v>
      </c>
      <c r="AD41" s="1" t="s">
        <v>423</v>
      </c>
      <c r="AE41" s="1" t="s">
        <v>241</v>
      </c>
      <c r="AF41" s="35" t="s">
        <v>59</v>
      </c>
      <c r="AG41" s="35" t="s">
        <v>59</v>
      </c>
      <c r="AH41" s="35" t="s">
        <v>63</v>
      </c>
      <c r="AI41" s="25" t="s">
        <v>59</v>
      </c>
      <c r="AJ41" s="49" t="s">
        <v>59</v>
      </c>
      <c r="AK41" s="35"/>
      <c r="AL41" s="35" t="s">
        <v>59</v>
      </c>
      <c r="AM41" s="35" t="s">
        <v>59</v>
      </c>
      <c r="AN41" s="35" t="s">
        <v>68</v>
      </c>
      <c r="AO41" s="35"/>
      <c r="AP41" s="35" t="s">
        <v>59</v>
      </c>
      <c r="AQ41" s="25" t="s">
        <v>69</v>
      </c>
      <c r="AR41" s="1"/>
      <c r="AS41" t="str">
        <f t="shared" si="0"/>
        <v/>
      </c>
    </row>
    <row r="42" spans="1:45" ht="153" x14ac:dyDescent="0.2">
      <c r="A42" s="97"/>
      <c r="B42" s="36">
        <v>142</v>
      </c>
      <c r="C42" s="36" t="s">
        <v>424</v>
      </c>
      <c r="D42" s="36" t="s">
        <v>425</v>
      </c>
      <c r="E42" s="36" t="s">
        <v>426</v>
      </c>
      <c r="F42" s="36" t="s">
        <v>86</v>
      </c>
      <c r="G42" s="58">
        <v>2025</v>
      </c>
      <c r="H42" s="36" t="s">
        <v>427</v>
      </c>
      <c r="I42" s="37" t="s">
        <v>63</v>
      </c>
      <c r="J42" s="36"/>
      <c r="K42" s="37" t="s">
        <v>428</v>
      </c>
      <c r="L42" s="37" t="s">
        <v>55</v>
      </c>
      <c r="M42" s="36" t="s">
        <v>429</v>
      </c>
      <c r="N42" s="63" t="s">
        <v>430</v>
      </c>
      <c r="O42" s="36" t="s">
        <v>55</v>
      </c>
      <c r="P42" s="36" t="s">
        <v>186</v>
      </c>
      <c r="Q42" s="37" t="s">
        <v>59</v>
      </c>
      <c r="R42" s="37" t="s">
        <v>431</v>
      </c>
      <c r="S42" s="36" t="s">
        <v>432</v>
      </c>
      <c r="T42" s="36" t="s">
        <v>55</v>
      </c>
      <c r="U42" s="37" t="s">
        <v>55</v>
      </c>
      <c r="V42" s="57" t="s">
        <v>433</v>
      </c>
      <c r="W42" s="37" t="s">
        <v>59</v>
      </c>
      <c r="X42" s="36" t="s">
        <v>55</v>
      </c>
      <c r="Y42" s="37" t="s">
        <v>59</v>
      </c>
      <c r="Z42" s="36"/>
      <c r="AA42" s="37">
        <v>10</v>
      </c>
      <c r="AB42" s="38">
        <v>0</v>
      </c>
      <c r="AC42" s="36" t="s">
        <v>434</v>
      </c>
      <c r="AD42" s="36" t="s">
        <v>435</v>
      </c>
      <c r="AE42" s="36" t="s">
        <v>436</v>
      </c>
      <c r="AF42" s="37" t="s">
        <v>63</v>
      </c>
      <c r="AG42" s="37" t="s">
        <v>59</v>
      </c>
      <c r="AH42" s="37" t="s">
        <v>59</v>
      </c>
      <c r="AI42" s="38" t="s">
        <v>59</v>
      </c>
      <c r="AJ42" s="50" t="s">
        <v>59</v>
      </c>
      <c r="AK42" s="37"/>
      <c r="AL42" s="37" t="s">
        <v>59</v>
      </c>
      <c r="AM42" s="37" t="s">
        <v>63</v>
      </c>
      <c r="AN42" s="37"/>
      <c r="AO42" s="37"/>
      <c r="AP42" s="37" t="s">
        <v>59</v>
      </c>
      <c r="AQ42" s="38" t="s">
        <v>81</v>
      </c>
      <c r="AR42" s="23"/>
      <c r="AS42" t="str">
        <f t="shared" si="0"/>
        <v/>
      </c>
    </row>
    <row r="43" spans="1:45" ht="80" x14ac:dyDescent="0.2">
      <c r="A43" s="97"/>
      <c r="B43" s="1">
        <v>98</v>
      </c>
      <c r="C43" s="1" t="s">
        <v>437</v>
      </c>
      <c r="D43" s="1" t="s">
        <v>438</v>
      </c>
      <c r="E43" s="1" t="s">
        <v>439</v>
      </c>
      <c r="F43" s="1" t="s">
        <v>86</v>
      </c>
      <c r="G43" s="3">
        <v>2010</v>
      </c>
      <c r="H43" s="1" t="s">
        <v>440</v>
      </c>
      <c r="I43" s="35" t="s">
        <v>63</v>
      </c>
      <c r="J43" s="1"/>
      <c r="K43" s="35" t="s">
        <v>55</v>
      </c>
      <c r="L43" s="35" t="s">
        <v>55</v>
      </c>
      <c r="M43" s="1" t="s">
        <v>55</v>
      </c>
      <c r="N43" s="35" t="s">
        <v>55</v>
      </c>
      <c r="O43" s="1" t="s">
        <v>55</v>
      </c>
      <c r="P43" s="1" t="s">
        <v>55</v>
      </c>
      <c r="Q43" s="35" t="s">
        <v>55</v>
      </c>
      <c r="R43" s="35">
        <v>20</v>
      </c>
      <c r="S43" s="1" t="s">
        <v>441</v>
      </c>
      <c r="T43" s="1" t="s">
        <v>55</v>
      </c>
      <c r="U43" s="35" t="s">
        <v>112</v>
      </c>
      <c r="V43" s="4" t="s">
        <v>442</v>
      </c>
      <c r="W43" s="35" t="s">
        <v>59</v>
      </c>
      <c r="X43" s="1" t="s">
        <v>55</v>
      </c>
      <c r="Y43" s="35" t="s">
        <v>55</v>
      </c>
      <c r="Z43" s="1"/>
      <c r="AA43" s="35" t="s">
        <v>55</v>
      </c>
      <c r="AB43" s="25" t="s">
        <v>55</v>
      </c>
      <c r="AC43" s="1" t="s">
        <v>443</v>
      </c>
      <c r="AD43" s="1" t="s">
        <v>66</v>
      </c>
      <c r="AE43" s="1" t="s">
        <v>444</v>
      </c>
      <c r="AF43" s="35" t="s">
        <v>59</v>
      </c>
      <c r="AG43" s="35" t="s">
        <v>63</v>
      </c>
      <c r="AH43" s="35" t="s">
        <v>59</v>
      </c>
      <c r="AI43" s="25" t="s">
        <v>59</v>
      </c>
      <c r="AJ43" s="49" t="s">
        <v>59</v>
      </c>
      <c r="AK43" s="35"/>
      <c r="AL43" s="35" t="s">
        <v>59</v>
      </c>
      <c r="AM43" s="35" t="s">
        <v>59</v>
      </c>
      <c r="AN43" s="35" t="s">
        <v>82</v>
      </c>
      <c r="AO43" s="35"/>
      <c r="AP43" s="35" t="s">
        <v>59</v>
      </c>
      <c r="AQ43" s="25" t="s">
        <v>81</v>
      </c>
      <c r="AR43" s="1"/>
      <c r="AS43" t="str">
        <f t="shared" si="0"/>
        <v/>
      </c>
    </row>
    <row r="44" spans="1:45" ht="80" x14ac:dyDescent="0.2">
      <c r="A44" s="97"/>
      <c r="B44" s="114">
        <v>102</v>
      </c>
      <c r="C44" s="114" t="s">
        <v>445</v>
      </c>
      <c r="D44" s="114" t="s">
        <v>446</v>
      </c>
      <c r="E44" s="114" t="s">
        <v>447</v>
      </c>
      <c r="F44" s="114" t="s">
        <v>318</v>
      </c>
      <c r="G44" s="122">
        <v>2020</v>
      </c>
      <c r="H44" s="1" t="s">
        <v>448</v>
      </c>
      <c r="I44" s="35" t="s">
        <v>63</v>
      </c>
      <c r="J44" s="114"/>
      <c r="K44" s="35">
        <v>204.8</v>
      </c>
      <c r="L44" s="35" t="s">
        <v>55</v>
      </c>
      <c r="M44" s="1" t="s">
        <v>55</v>
      </c>
      <c r="N44" s="35">
        <v>19</v>
      </c>
      <c r="O44" s="1" t="s">
        <v>449</v>
      </c>
      <c r="P44" s="1" t="s">
        <v>58</v>
      </c>
      <c r="Q44" s="35" t="s">
        <v>59</v>
      </c>
      <c r="R44" s="35">
        <v>13</v>
      </c>
      <c r="S44" s="1" t="s">
        <v>450</v>
      </c>
      <c r="T44" s="1" t="s">
        <v>55</v>
      </c>
      <c r="U44" s="35" t="s">
        <v>222</v>
      </c>
      <c r="V44" s="115" t="s">
        <v>451</v>
      </c>
      <c r="W44" s="92" t="s">
        <v>63</v>
      </c>
      <c r="X44" s="114" t="s">
        <v>452</v>
      </c>
      <c r="Y44" s="92" t="s">
        <v>63</v>
      </c>
      <c r="Z44" s="114" t="s">
        <v>453</v>
      </c>
      <c r="AA44" s="35">
        <v>5</v>
      </c>
      <c r="AB44" s="25">
        <v>50</v>
      </c>
      <c r="AC44" s="114" t="s">
        <v>55</v>
      </c>
      <c r="AD44" s="114" t="s">
        <v>192</v>
      </c>
      <c r="AE44" s="114" t="s">
        <v>454</v>
      </c>
      <c r="AF44" s="92" t="s">
        <v>63</v>
      </c>
      <c r="AG44" s="35" t="s">
        <v>59</v>
      </c>
      <c r="AH44" s="35" t="s">
        <v>63</v>
      </c>
      <c r="AI44" s="91" t="s">
        <v>59</v>
      </c>
      <c r="AJ44" s="95" t="s">
        <v>59</v>
      </c>
      <c r="AK44" s="92"/>
      <c r="AL44" s="92" t="s">
        <v>59</v>
      </c>
      <c r="AM44" s="92" t="s">
        <v>59</v>
      </c>
      <c r="AN44" s="92" t="s">
        <v>68</v>
      </c>
      <c r="AO44" s="35"/>
      <c r="AP44" s="92" t="s">
        <v>59</v>
      </c>
      <c r="AQ44" s="91" t="s">
        <v>81</v>
      </c>
      <c r="AR44" s="1"/>
      <c r="AS44" t="str">
        <f t="shared" si="0"/>
        <v/>
      </c>
    </row>
    <row r="45" spans="1:45" ht="80" x14ac:dyDescent="0.2">
      <c r="A45" s="97"/>
      <c r="B45" s="114"/>
      <c r="C45" s="114"/>
      <c r="D45" s="114"/>
      <c r="E45" s="114"/>
      <c r="F45" s="114"/>
      <c r="G45" s="122"/>
      <c r="H45" s="1" t="s">
        <v>219</v>
      </c>
      <c r="I45" s="35" t="s">
        <v>63</v>
      </c>
      <c r="J45" s="114"/>
      <c r="K45" s="35">
        <v>50</v>
      </c>
      <c r="L45" s="35" t="s">
        <v>55</v>
      </c>
      <c r="M45" s="1" t="s">
        <v>55</v>
      </c>
      <c r="N45" s="35">
        <v>10</v>
      </c>
      <c r="O45" s="1" t="s">
        <v>55</v>
      </c>
      <c r="P45" s="1" t="s">
        <v>55</v>
      </c>
      <c r="Q45" s="35" t="s">
        <v>59</v>
      </c>
      <c r="R45" s="35">
        <v>12</v>
      </c>
      <c r="S45" s="1" t="s">
        <v>455</v>
      </c>
      <c r="T45" s="1" t="s">
        <v>55</v>
      </c>
      <c r="U45" s="35" t="s">
        <v>222</v>
      </c>
      <c r="V45" s="115"/>
      <c r="W45" s="92"/>
      <c r="X45" s="114"/>
      <c r="Y45" s="92"/>
      <c r="Z45" s="114"/>
      <c r="AA45" s="35">
        <v>4</v>
      </c>
      <c r="AB45" s="25">
        <v>50</v>
      </c>
      <c r="AC45" s="114"/>
      <c r="AD45" s="114"/>
      <c r="AE45" s="114"/>
      <c r="AF45" s="92"/>
      <c r="AG45" s="35" t="s">
        <v>63</v>
      </c>
      <c r="AH45" s="35" t="s">
        <v>63</v>
      </c>
      <c r="AI45" s="91"/>
      <c r="AJ45" s="95"/>
      <c r="AK45" s="92"/>
      <c r="AL45" s="92"/>
      <c r="AM45" s="92"/>
      <c r="AN45" s="92"/>
      <c r="AO45" s="35"/>
      <c r="AP45" s="92"/>
      <c r="AQ45" s="91"/>
      <c r="AR45" s="1"/>
      <c r="AS45" t="str">
        <f t="shared" si="0"/>
        <v/>
      </c>
    </row>
    <row r="46" spans="1:45" ht="32" x14ac:dyDescent="0.2">
      <c r="A46" s="97"/>
      <c r="B46" s="114">
        <v>51</v>
      </c>
      <c r="C46" s="120" t="s">
        <v>456</v>
      </c>
      <c r="D46" s="114" t="s">
        <v>457</v>
      </c>
      <c r="E46" s="114" t="s">
        <v>458</v>
      </c>
      <c r="F46" s="114" t="s">
        <v>459</v>
      </c>
      <c r="G46" s="122">
        <v>2019</v>
      </c>
      <c r="H46" s="1" t="s">
        <v>460</v>
      </c>
      <c r="I46" s="35" t="s">
        <v>63</v>
      </c>
      <c r="J46" s="114"/>
      <c r="K46" s="35">
        <v>52</v>
      </c>
      <c r="L46" s="35" t="s">
        <v>55</v>
      </c>
      <c r="M46" s="1" t="s">
        <v>461</v>
      </c>
      <c r="N46" s="35">
        <v>11</v>
      </c>
      <c r="O46" s="1" t="s">
        <v>462</v>
      </c>
      <c r="P46" s="1" t="s">
        <v>55</v>
      </c>
      <c r="Q46" s="35" t="s">
        <v>59</v>
      </c>
      <c r="R46" s="35">
        <v>5</v>
      </c>
      <c r="S46" s="1" t="s">
        <v>463</v>
      </c>
      <c r="T46" s="1" t="s">
        <v>55</v>
      </c>
      <c r="U46" s="35" t="s">
        <v>55</v>
      </c>
      <c r="V46" s="115" t="s">
        <v>464</v>
      </c>
      <c r="W46" s="92" t="s">
        <v>63</v>
      </c>
      <c r="X46" s="114" t="s">
        <v>55</v>
      </c>
      <c r="Y46" s="92" t="s">
        <v>63</v>
      </c>
      <c r="Z46" s="114" t="s">
        <v>465</v>
      </c>
      <c r="AA46" s="92">
        <v>5</v>
      </c>
      <c r="AB46" s="91" t="s">
        <v>55</v>
      </c>
      <c r="AC46" s="114" t="s">
        <v>466</v>
      </c>
      <c r="AD46" s="114" t="s">
        <v>66</v>
      </c>
      <c r="AE46" s="114" t="s">
        <v>80</v>
      </c>
      <c r="AF46" s="92" t="s">
        <v>63</v>
      </c>
      <c r="AG46" s="92" t="s">
        <v>59</v>
      </c>
      <c r="AH46" s="92" t="s">
        <v>63</v>
      </c>
      <c r="AI46" s="91" t="s">
        <v>59</v>
      </c>
      <c r="AJ46" s="49" t="s">
        <v>63</v>
      </c>
      <c r="AK46" s="92" t="s">
        <v>467</v>
      </c>
      <c r="AL46" s="92" t="s">
        <v>63</v>
      </c>
      <c r="AM46" s="92" t="s">
        <v>63</v>
      </c>
      <c r="AN46" s="92"/>
      <c r="AO46" s="35"/>
      <c r="AP46" s="92" t="s">
        <v>63</v>
      </c>
      <c r="AQ46" s="91"/>
      <c r="AR46" s="1"/>
      <c r="AS46" t="str">
        <f t="shared" si="0"/>
        <v/>
      </c>
    </row>
    <row r="47" spans="1:45" ht="48" x14ac:dyDescent="0.2">
      <c r="A47" s="97"/>
      <c r="B47" s="114"/>
      <c r="C47" s="120"/>
      <c r="D47" s="114"/>
      <c r="E47" s="114"/>
      <c r="F47" s="114"/>
      <c r="G47" s="122"/>
      <c r="H47" s="1" t="s">
        <v>209</v>
      </c>
      <c r="I47" s="35" t="s">
        <v>63</v>
      </c>
      <c r="J47" s="114"/>
      <c r="K47" s="35">
        <v>32</v>
      </c>
      <c r="L47" s="35" t="s">
        <v>55</v>
      </c>
      <c r="M47" s="1" t="s">
        <v>55</v>
      </c>
      <c r="N47" s="35">
        <v>16</v>
      </c>
      <c r="O47" s="1" t="s">
        <v>55</v>
      </c>
      <c r="P47" s="1" t="s">
        <v>55</v>
      </c>
      <c r="Q47" s="35" t="s">
        <v>55</v>
      </c>
      <c r="R47" s="35">
        <v>7</v>
      </c>
      <c r="S47" s="1" t="s">
        <v>468</v>
      </c>
      <c r="T47" s="1" t="s">
        <v>55</v>
      </c>
      <c r="U47" s="35" t="s">
        <v>55</v>
      </c>
      <c r="V47" s="115"/>
      <c r="W47" s="92"/>
      <c r="X47" s="114"/>
      <c r="Y47" s="92"/>
      <c r="Z47" s="114"/>
      <c r="AA47" s="92"/>
      <c r="AB47" s="91"/>
      <c r="AC47" s="114"/>
      <c r="AD47" s="114"/>
      <c r="AE47" s="114"/>
      <c r="AF47" s="92"/>
      <c r="AG47" s="92"/>
      <c r="AH47" s="92"/>
      <c r="AI47" s="91"/>
      <c r="AJ47" s="49"/>
      <c r="AK47" s="92"/>
      <c r="AL47" s="92"/>
      <c r="AM47" s="92"/>
      <c r="AN47" s="92"/>
      <c r="AO47" s="35"/>
      <c r="AP47" s="92"/>
      <c r="AQ47" s="91"/>
      <c r="AR47" s="1"/>
      <c r="AS47" t="str">
        <f t="shared" si="0"/>
        <v/>
      </c>
    </row>
    <row r="48" spans="1:45" ht="109" customHeight="1" x14ac:dyDescent="0.2">
      <c r="A48" s="97"/>
      <c r="B48" s="36">
        <v>150</v>
      </c>
      <c r="C48" s="36" t="s">
        <v>469</v>
      </c>
      <c r="D48" s="36" t="s">
        <v>470</v>
      </c>
      <c r="E48" s="36" t="s">
        <v>471</v>
      </c>
      <c r="F48" s="60" t="s">
        <v>472</v>
      </c>
      <c r="G48" s="58">
        <v>2026</v>
      </c>
      <c r="H48" s="36" t="s">
        <v>473</v>
      </c>
      <c r="I48" s="37" t="s">
        <v>63</v>
      </c>
      <c r="J48" s="36" t="s">
        <v>474</v>
      </c>
      <c r="K48" s="37">
        <v>20</v>
      </c>
      <c r="L48" s="37">
        <v>2</v>
      </c>
      <c r="M48" s="36" t="s">
        <v>55</v>
      </c>
      <c r="N48" s="37">
        <v>7</v>
      </c>
      <c r="O48" s="36" t="s">
        <v>475</v>
      </c>
      <c r="P48" s="40" t="s">
        <v>58</v>
      </c>
      <c r="Q48" s="37" t="s">
        <v>55</v>
      </c>
      <c r="R48" s="37">
        <v>5</v>
      </c>
      <c r="S48" s="36" t="s">
        <v>476</v>
      </c>
      <c r="T48" s="36" t="s">
        <v>55</v>
      </c>
      <c r="U48" s="37" t="s">
        <v>55</v>
      </c>
      <c r="V48" s="57" t="s">
        <v>477</v>
      </c>
      <c r="W48" s="37" t="s">
        <v>478</v>
      </c>
      <c r="X48" s="36" t="s">
        <v>479</v>
      </c>
      <c r="Y48" s="37" t="s">
        <v>59</v>
      </c>
      <c r="Z48" s="36"/>
      <c r="AA48" s="37" t="s">
        <v>480</v>
      </c>
      <c r="AB48" s="38">
        <v>50</v>
      </c>
      <c r="AC48" s="36" t="s">
        <v>55</v>
      </c>
      <c r="AD48" s="36" t="s">
        <v>481</v>
      </c>
      <c r="AE48" s="36" t="s">
        <v>482</v>
      </c>
      <c r="AF48" s="37" t="s">
        <v>483</v>
      </c>
      <c r="AG48" s="37" t="s">
        <v>59</v>
      </c>
      <c r="AH48" s="37" t="s">
        <v>63</v>
      </c>
      <c r="AI48" s="38" t="s">
        <v>59</v>
      </c>
      <c r="AJ48" s="50" t="s">
        <v>59</v>
      </c>
      <c r="AK48" s="37"/>
      <c r="AL48" s="37" t="s">
        <v>59</v>
      </c>
      <c r="AM48" s="37" t="s">
        <v>63</v>
      </c>
      <c r="AN48" s="37"/>
      <c r="AO48" s="37"/>
      <c r="AP48" s="37" t="s">
        <v>59</v>
      </c>
      <c r="AQ48" s="38" t="s">
        <v>81</v>
      </c>
      <c r="AR48" s="23"/>
      <c r="AS48" t="str">
        <f t="shared" si="0"/>
        <v/>
      </c>
    </row>
    <row r="49" spans="1:45" ht="64" x14ac:dyDescent="0.2">
      <c r="A49" s="97"/>
      <c r="B49" s="1">
        <v>97</v>
      </c>
      <c r="C49" s="1" t="s">
        <v>484</v>
      </c>
      <c r="D49" s="1" t="s">
        <v>485</v>
      </c>
      <c r="E49" s="1" t="s">
        <v>486</v>
      </c>
      <c r="F49" s="1" t="s">
        <v>245</v>
      </c>
      <c r="G49" s="3">
        <v>2019</v>
      </c>
      <c r="H49" s="1" t="s">
        <v>219</v>
      </c>
      <c r="I49" s="35" t="s">
        <v>63</v>
      </c>
      <c r="J49" s="1"/>
      <c r="K49" s="35">
        <v>50</v>
      </c>
      <c r="L49" s="35" t="s">
        <v>55</v>
      </c>
      <c r="M49" s="1" t="s">
        <v>487</v>
      </c>
      <c r="N49" s="35">
        <v>10</v>
      </c>
      <c r="O49" s="1" t="s">
        <v>55</v>
      </c>
      <c r="P49" s="1" t="s">
        <v>488</v>
      </c>
      <c r="Q49" s="35" t="s">
        <v>63</v>
      </c>
      <c r="R49" s="35">
        <v>12</v>
      </c>
      <c r="S49" s="1" t="s">
        <v>489</v>
      </c>
      <c r="T49" s="1" t="s">
        <v>55</v>
      </c>
      <c r="U49" s="35" t="s">
        <v>222</v>
      </c>
      <c r="V49" s="4" t="s">
        <v>490</v>
      </c>
      <c r="W49" s="35" t="s">
        <v>63</v>
      </c>
      <c r="X49" s="1" t="s">
        <v>104</v>
      </c>
      <c r="Y49" s="35" t="s">
        <v>63</v>
      </c>
      <c r="Z49" s="1"/>
      <c r="AA49" s="35">
        <v>9</v>
      </c>
      <c r="AB49" s="25">
        <v>50</v>
      </c>
      <c r="AC49" s="1" t="s">
        <v>213</v>
      </c>
      <c r="AD49" s="1" t="s">
        <v>491</v>
      </c>
      <c r="AE49" s="1" t="s">
        <v>492</v>
      </c>
      <c r="AF49" s="35" t="s">
        <v>59</v>
      </c>
      <c r="AG49" s="35" t="s">
        <v>63</v>
      </c>
      <c r="AH49" s="35" t="s">
        <v>63</v>
      </c>
      <c r="AI49" s="25" t="s">
        <v>59</v>
      </c>
      <c r="AJ49" s="49" t="s">
        <v>59</v>
      </c>
      <c r="AK49" s="35"/>
      <c r="AL49" s="35" t="s">
        <v>59</v>
      </c>
      <c r="AM49" s="35" t="s">
        <v>59</v>
      </c>
      <c r="AN49" s="35" t="s">
        <v>68</v>
      </c>
      <c r="AO49" s="35"/>
      <c r="AP49" s="35" t="s">
        <v>59</v>
      </c>
      <c r="AQ49" s="25" t="s">
        <v>81</v>
      </c>
      <c r="AR49" s="1"/>
      <c r="AS49" t="str">
        <f t="shared" si="0"/>
        <v/>
      </c>
    </row>
    <row r="50" spans="1:45" ht="96" x14ac:dyDescent="0.2">
      <c r="A50" s="97"/>
      <c r="B50" s="1">
        <v>130</v>
      </c>
      <c r="C50" s="1" t="s">
        <v>493</v>
      </c>
      <c r="D50" s="1" t="s">
        <v>494</v>
      </c>
      <c r="E50" s="1" t="s">
        <v>495</v>
      </c>
      <c r="F50" s="1" t="s">
        <v>496</v>
      </c>
      <c r="G50" s="3">
        <v>2024</v>
      </c>
      <c r="H50" s="1" t="s">
        <v>497</v>
      </c>
      <c r="I50" s="35" t="s">
        <v>63</v>
      </c>
      <c r="J50" s="1"/>
      <c r="K50" s="35">
        <v>51.2</v>
      </c>
      <c r="L50" s="35">
        <v>1.5</v>
      </c>
      <c r="M50" s="1" t="s">
        <v>294</v>
      </c>
      <c r="N50" s="35">
        <v>395</v>
      </c>
      <c r="O50" s="1" t="s">
        <v>498</v>
      </c>
      <c r="P50" s="1" t="s">
        <v>58</v>
      </c>
      <c r="Q50" s="35" t="s">
        <v>59</v>
      </c>
      <c r="R50" s="35">
        <v>18</v>
      </c>
      <c r="S50" s="1" t="s">
        <v>499</v>
      </c>
      <c r="T50" s="1" t="s">
        <v>55</v>
      </c>
      <c r="U50" s="35" t="s">
        <v>112</v>
      </c>
      <c r="V50" s="4" t="s">
        <v>500</v>
      </c>
      <c r="W50" s="35" t="s">
        <v>63</v>
      </c>
      <c r="X50" s="1" t="s">
        <v>55</v>
      </c>
      <c r="Y50" s="35" t="s">
        <v>63</v>
      </c>
      <c r="Z50" s="1" t="s">
        <v>501</v>
      </c>
      <c r="AA50" s="35">
        <v>4</v>
      </c>
      <c r="AB50" s="25">
        <v>0</v>
      </c>
      <c r="AC50" s="1" t="s">
        <v>502</v>
      </c>
      <c r="AD50" s="1" t="s">
        <v>174</v>
      </c>
      <c r="AE50" s="1" t="s">
        <v>503</v>
      </c>
      <c r="AF50" s="35" t="s">
        <v>59</v>
      </c>
      <c r="AG50" s="35" t="s">
        <v>59</v>
      </c>
      <c r="AH50" s="35" t="s">
        <v>59</v>
      </c>
      <c r="AI50" s="25" t="s">
        <v>59</v>
      </c>
      <c r="AJ50" s="49" t="s">
        <v>63</v>
      </c>
      <c r="AK50" s="35" t="s">
        <v>504</v>
      </c>
      <c r="AL50" s="35" t="s">
        <v>59</v>
      </c>
      <c r="AM50" s="35" t="s">
        <v>63</v>
      </c>
      <c r="AN50" s="35"/>
      <c r="AO50" s="35"/>
      <c r="AP50" s="35" t="s">
        <v>59</v>
      </c>
      <c r="AQ50" s="25" t="s">
        <v>81</v>
      </c>
      <c r="AR50" s="1"/>
      <c r="AS50" t="str">
        <f t="shared" si="0"/>
        <v/>
      </c>
    </row>
    <row r="51" spans="1:45" ht="80" x14ac:dyDescent="0.2">
      <c r="A51" s="97"/>
      <c r="B51" s="1">
        <v>41</v>
      </c>
      <c r="C51" s="1" t="s">
        <v>505</v>
      </c>
      <c r="D51" s="1" t="s">
        <v>506</v>
      </c>
      <c r="E51" s="2" t="s">
        <v>507</v>
      </c>
      <c r="F51" s="1" t="s">
        <v>208</v>
      </c>
      <c r="G51" s="3">
        <v>2023</v>
      </c>
      <c r="H51" s="1" t="s">
        <v>236</v>
      </c>
      <c r="I51" s="35" t="s">
        <v>63</v>
      </c>
      <c r="J51" s="1"/>
      <c r="K51" s="35" t="s">
        <v>55</v>
      </c>
      <c r="L51" s="35" t="s">
        <v>55</v>
      </c>
      <c r="M51" s="1" t="s">
        <v>55</v>
      </c>
      <c r="N51" s="35">
        <v>51</v>
      </c>
      <c r="O51" s="1" t="s">
        <v>508</v>
      </c>
      <c r="P51" s="1" t="s">
        <v>58</v>
      </c>
      <c r="Q51" s="35" t="s">
        <v>63</v>
      </c>
      <c r="R51" s="35">
        <v>18</v>
      </c>
      <c r="S51" s="1" t="s">
        <v>509</v>
      </c>
      <c r="T51" s="1" t="s">
        <v>55</v>
      </c>
      <c r="U51" s="35" t="s">
        <v>112</v>
      </c>
      <c r="V51" s="4" t="s">
        <v>510</v>
      </c>
      <c r="W51" s="35" t="s">
        <v>63</v>
      </c>
      <c r="X51" s="1" t="s">
        <v>511</v>
      </c>
      <c r="Y51" s="35" t="s">
        <v>253</v>
      </c>
      <c r="Z51" s="1" t="s">
        <v>512</v>
      </c>
      <c r="AA51" s="35" t="s">
        <v>513</v>
      </c>
      <c r="AB51" s="25" t="s">
        <v>514</v>
      </c>
      <c r="AC51" s="1" t="s">
        <v>65</v>
      </c>
      <c r="AD51" s="1" t="s">
        <v>515</v>
      </c>
      <c r="AE51" s="1" t="s">
        <v>241</v>
      </c>
      <c r="AF51" s="35" t="s">
        <v>63</v>
      </c>
      <c r="AG51" s="35" t="s">
        <v>63</v>
      </c>
      <c r="AH51" s="35" t="s">
        <v>63</v>
      </c>
      <c r="AI51" s="25" t="s">
        <v>59</v>
      </c>
      <c r="AJ51" s="49" t="s">
        <v>59</v>
      </c>
      <c r="AK51" s="35"/>
      <c r="AL51" s="35" t="s">
        <v>59</v>
      </c>
      <c r="AM51" s="35" t="s">
        <v>63</v>
      </c>
      <c r="AN51" s="35"/>
      <c r="AO51" s="35"/>
      <c r="AP51" s="35" t="s">
        <v>59</v>
      </c>
      <c r="AQ51" s="26" t="s">
        <v>81</v>
      </c>
      <c r="AR51" s="1"/>
      <c r="AS51" t="str">
        <f t="shared" si="0"/>
        <v/>
      </c>
    </row>
    <row r="52" spans="1:45" ht="208" x14ac:dyDescent="0.2">
      <c r="A52" s="97"/>
      <c r="B52" s="1">
        <v>63</v>
      </c>
      <c r="C52" s="1" t="s">
        <v>516</v>
      </c>
      <c r="D52" s="1" t="s">
        <v>517</v>
      </c>
      <c r="E52" s="59" t="s">
        <v>518</v>
      </c>
      <c r="F52" s="1" t="s">
        <v>290</v>
      </c>
      <c r="G52" s="3">
        <v>2021</v>
      </c>
      <c r="H52" s="1" t="s">
        <v>519</v>
      </c>
      <c r="I52" s="35" t="s">
        <v>55</v>
      </c>
      <c r="J52" s="1"/>
      <c r="K52" s="35">
        <v>100</v>
      </c>
      <c r="L52" s="35" t="s">
        <v>55</v>
      </c>
      <c r="M52" s="1" t="s">
        <v>520</v>
      </c>
      <c r="N52" s="35">
        <v>253</v>
      </c>
      <c r="O52" s="1" t="s">
        <v>521</v>
      </c>
      <c r="P52" s="40" t="s">
        <v>58</v>
      </c>
      <c r="Q52" s="35" t="s">
        <v>55</v>
      </c>
      <c r="R52" s="35">
        <v>33</v>
      </c>
      <c r="S52" s="1" t="s">
        <v>522</v>
      </c>
      <c r="T52" s="1" t="s">
        <v>55</v>
      </c>
      <c r="U52" s="35" t="s">
        <v>222</v>
      </c>
      <c r="V52" s="4" t="s">
        <v>523</v>
      </c>
      <c r="W52" s="35" t="s">
        <v>63</v>
      </c>
      <c r="X52" s="1" t="s">
        <v>55</v>
      </c>
      <c r="Y52" s="35" t="s">
        <v>63</v>
      </c>
      <c r="Z52" s="1" t="s">
        <v>150</v>
      </c>
      <c r="AA52" s="35">
        <v>60</v>
      </c>
      <c r="AB52" s="25">
        <v>0</v>
      </c>
      <c r="AC52" s="1" t="s">
        <v>106</v>
      </c>
      <c r="AD52" s="1" t="s">
        <v>524</v>
      </c>
      <c r="AE52" s="1" t="s">
        <v>525</v>
      </c>
      <c r="AF52" s="35" t="s">
        <v>63</v>
      </c>
      <c r="AG52" s="35" t="s">
        <v>59</v>
      </c>
      <c r="AH52" s="35" t="s">
        <v>59</v>
      </c>
      <c r="AI52" s="25" t="s">
        <v>59</v>
      </c>
      <c r="AJ52" s="49" t="s">
        <v>59</v>
      </c>
      <c r="AK52" s="35"/>
      <c r="AL52" s="35" t="s">
        <v>59</v>
      </c>
      <c r="AM52" s="35" t="s">
        <v>59</v>
      </c>
      <c r="AN52" s="35" t="s">
        <v>68</v>
      </c>
      <c r="AO52" s="35"/>
      <c r="AP52" s="35" t="s">
        <v>59</v>
      </c>
      <c r="AQ52" s="25" t="s">
        <v>69</v>
      </c>
      <c r="AR52" s="1"/>
      <c r="AS52" t="str">
        <f t="shared" si="0"/>
        <v/>
      </c>
    </row>
    <row r="53" spans="1:45" ht="112" x14ac:dyDescent="0.2">
      <c r="A53" s="97"/>
      <c r="B53" s="1">
        <v>78</v>
      </c>
      <c r="C53" s="1" t="s">
        <v>526</v>
      </c>
      <c r="D53" s="1" t="s">
        <v>527</v>
      </c>
      <c r="E53" s="1" t="s">
        <v>528</v>
      </c>
      <c r="F53" s="1" t="s">
        <v>459</v>
      </c>
      <c r="G53" s="3">
        <v>2015</v>
      </c>
      <c r="H53" s="1" t="s">
        <v>54</v>
      </c>
      <c r="I53" s="35" t="s">
        <v>55</v>
      </c>
      <c r="J53" s="1"/>
      <c r="K53" s="35">
        <v>20</v>
      </c>
      <c r="L53" s="35">
        <v>2</v>
      </c>
      <c r="M53" s="1" t="s">
        <v>529</v>
      </c>
      <c r="N53" s="35">
        <v>48</v>
      </c>
      <c r="O53" s="1" t="s">
        <v>530</v>
      </c>
      <c r="P53" s="40" t="s">
        <v>58</v>
      </c>
      <c r="Q53" s="35" t="s">
        <v>59</v>
      </c>
      <c r="R53" s="35">
        <v>8</v>
      </c>
      <c r="S53" s="1" t="s">
        <v>531</v>
      </c>
      <c r="T53" s="1" t="s">
        <v>55</v>
      </c>
      <c r="U53" s="35" t="s">
        <v>55</v>
      </c>
      <c r="V53" s="4" t="s">
        <v>532</v>
      </c>
      <c r="W53" s="35" t="s">
        <v>63</v>
      </c>
      <c r="X53" s="1" t="s">
        <v>55</v>
      </c>
      <c r="Y53" s="35" t="s">
        <v>63</v>
      </c>
      <c r="Z53" s="1" t="s">
        <v>533</v>
      </c>
      <c r="AA53" s="35">
        <v>6</v>
      </c>
      <c r="AB53" s="25">
        <v>0</v>
      </c>
      <c r="AC53" s="1" t="s">
        <v>534</v>
      </c>
      <c r="AD53" s="1" t="s">
        <v>535</v>
      </c>
      <c r="AE53" s="1" t="s">
        <v>193</v>
      </c>
      <c r="AF53" s="35" t="s">
        <v>63</v>
      </c>
      <c r="AG53" s="35" t="s">
        <v>59</v>
      </c>
      <c r="AH53" s="35" t="s">
        <v>59</v>
      </c>
      <c r="AI53" s="25" t="s">
        <v>59</v>
      </c>
      <c r="AJ53" s="49" t="s">
        <v>59</v>
      </c>
      <c r="AK53" s="35"/>
      <c r="AL53" s="35" t="s">
        <v>59</v>
      </c>
      <c r="AM53" s="35" t="s">
        <v>59</v>
      </c>
      <c r="AN53" s="35" t="s">
        <v>68</v>
      </c>
      <c r="AO53" s="35"/>
      <c r="AP53" s="35" t="s">
        <v>59</v>
      </c>
      <c r="AQ53" s="25" t="s">
        <v>69</v>
      </c>
      <c r="AR53" s="1"/>
      <c r="AS53" t="str">
        <f t="shared" si="0"/>
        <v/>
      </c>
    </row>
    <row r="54" spans="1:45" ht="160" x14ac:dyDescent="0.2">
      <c r="A54" s="97"/>
      <c r="B54" s="1">
        <v>47</v>
      </c>
      <c r="C54" s="1" t="s">
        <v>536</v>
      </c>
      <c r="D54" s="1" t="s">
        <v>537</v>
      </c>
      <c r="E54" s="2" t="s">
        <v>538</v>
      </c>
      <c r="F54" s="1" t="s">
        <v>318</v>
      </c>
      <c r="G54" s="3">
        <v>2018</v>
      </c>
      <c r="H54" s="1" t="s">
        <v>54</v>
      </c>
      <c r="I54" s="35" t="s">
        <v>55</v>
      </c>
      <c r="J54" s="1"/>
      <c r="K54" s="35">
        <v>25</v>
      </c>
      <c r="L54" s="35">
        <v>8</v>
      </c>
      <c r="M54" s="1" t="s">
        <v>539</v>
      </c>
      <c r="N54" s="35" t="s">
        <v>540</v>
      </c>
      <c r="O54" s="1" t="s">
        <v>541</v>
      </c>
      <c r="P54" s="40" t="s">
        <v>58</v>
      </c>
      <c r="Q54" s="35" t="s">
        <v>59</v>
      </c>
      <c r="R54" s="35">
        <v>5</v>
      </c>
      <c r="S54" s="1" t="s">
        <v>542</v>
      </c>
      <c r="T54" s="1" t="s">
        <v>150</v>
      </c>
      <c r="U54" s="35" t="s">
        <v>112</v>
      </c>
      <c r="V54" s="4" t="s">
        <v>543</v>
      </c>
      <c r="W54" s="35" t="s">
        <v>59</v>
      </c>
      <c r="X54" s="1" t="s">
        <v>544</v>
      </c>
      <c r="Y54" s="35" t="s">
        <v>63</v>
      </c>
      <c r="Z54" s="1" t="s">
        <v>545</v>
      </c>
      <c r="AA54" s="55" t="s">
        <v>546</v>
      </c>
      <c r="AB54" s="25">
        <v>90</v>
      </c>
      <c r="AC54" s="1" t="s">
        <v>120</v>
      </c>
      <c r="AD54" s="1" t="s">
        <v>66</v>
      </c>
      <c r="AE54" s="1" t="s">
        <v>547</v>
      </c>
      <c r="AF54" s="35" t="s">
        <v>63</v>
      </c>
      <c r="AG54" s="35" t="s">
        <v>59</v>
      </c>
      <c r="AH54" s="35" t="s">
        <v>59</v>
      </c>
      <c r="AI54" s="25" t="s">
        <v>59</v>
      </c>
      <c r="AJ54" s="49" t="s">
        <v>59</v>
      </c>
      <c r="AK54" s="35"/>
      <c r="AL54" s="35" t="s">
        <v>59</v>
      </c>
      <c r="AM54" s="35" t="s">
        <v>63</v>
      </c>
      <c r="AN54" s="35"/>
      <c r="AO54" s="35"/>
      <c r="AP54" s="35" t="s">
        <v>59</v>
      </c>
      <c r="AQ54" s="25" t="s">
        <v>69</v>
      </c>
      <c r="AR54" s="1"/>
      <c r="AS54" t="str">
        <f t="shared" si="0"/>
        <v/>
      </c>
    </row>
    <row r="55" spans="1:45" ht="160" x14ac:dyDescent="0.2">
      <c r="A55" s="97"/>
      <c r="B55" s="1">
        <v>54</v>
      </c>
      <c r="C55" s="1" t="s">
        <v>548</v>
      </c>
      <c r="D55" s="1" t="s">
        <v>549</v>
      </c>
      <c r="E55" s="1" t="s">
        <v>550</v>
      </c>
      <c r="F55" s="1" t="s">
        <v>459</v>
      </c>
      <c r="G55" s="3">
        <v>2021</v>
      </c>
      <c r="H55" s="1" t="s">
        <v>551</v>
      </c>
      <c r="I55" s="35" t="s">
        <v>63</v>
      </c>
      <c r="J55" s="1"/>
      <c r="K55" s="35">
        <v>10</v>
      </c>
      <c r="L55" s="35" t="s">
        <v>55</v>
      </c>
      <c r="M55" s="1" t="s">
        <v>552</v>
      </c>
      <c r="N55" s="35">
        <v>2</v>
      </c>
      <c r="O55" s="1" t="s">
        <v>55</v>
      </c>
      <c r="P55" s="1" t="s">
        <v>186</v>
      </c>
      <c r="Q55" s="35" t="s">
        <v>59</v>
      </c>
      <c r="R55" s="35">
        <v>11</v>
      </c>
      <c r="S55" s="1" t="s">
        <v>553</v>
      </c>
      <c r="T55" s="1" t="s">
        <v>554</v>
      </c>
      <c r="U55" s="35" t="s">
        <v>112</v>
      </c>
      <c r="V55" s="4" t="s">
        <v>555</v>
      </c>
      <c r="W55" s="35" t="s">
        <v>63</v>
      </c>
      <c r="X55" s="1" t="s">
        <v>556</v>
      </c>
      <c r="Y55" s="35" t="s">
        <v>59</v>
      </c>
      <c r="Z55" s="1"/>
      <c r="AA55" s="35" t="s">
        <v>557</v>
      </c>
      <c r="AB55" s="25" t="s">
        <v>55</v>
      </c>
      <c r="AC55" s="1" t="s">
        <v>65</v>
      </c>
      <c r="AD55" s="1" t="s">
        <v>192</v>
      </c>
      <c r="AE55" s="1" t="s">
        <v>80</v>
      </c>
      <c r="AF55" s="35" t="s">
        <v>59</v>
      </c>
      <c r="AG55" s="35" t="s">
        <v>59</v>
      </c>
      <c r="AH55" s="35" t="s">
        <v>59</v>
      </c>
      <c r="AI55" s="25" t="s">
        <v>59</v>
      </c>
      <c r="AJ55" s="49" t="s">
        <v>59</v>
      </c>
      <c r="AK55" s="35"/>
      <c r="AL55" s="35" t="s">
        <v>59</v>
      </c>
      <c r="AM55" s="35" t="s">
        <v>59</v>
      </c>
      <c r="AN55" s="35" t="s">
        <v>68</v>
      </c>
      <c r="AO55" s="35"/>
      <c r="AP55" s="35" t="s">
        <v>59</v>
      </c>
      <c r="AQ55" s="25" t="s">
        <v>81</v>
      </c>
      <c r="AR55" s="1"/>
      <c r="AS55" t="str">
        <f t="shared" si="0"/>
        <v/>
      </c>
    </row>
    <row r="56" spans="1:45" ht="160" x14ac:dyDescent="0.2">
      <c r="A56" s="97"/>
      <c r="B56" s="1">
        <v>124</v>
      </c>
      <c r="C56" s="1" t="s">
        <v>558</v>
      </c>
      <c r="D56" s="1" t="s">
        <v>559</v>
      </c>
      <c r="E56" s="1" t="s">
        <v>560</v>
      </c>
      <c r="F56" s="1" t="s">
        <v>184</v>
      </c>
      <c r="G56" s="3">
        <v>2022</v>
      </c>
      <c r="H56" s="1" t="s">
        <v>236</v>
      </c>
      <c r="I56" s="35" t="s">
        <v>63</v>
      </c>
      <c r="J56" s="1"/>
      <c r="K56" s="35">
        <v>20</v>
      </c>
      <c r="L56" s="35" t="s">
        <v>55</v>
      </c>
      <c r="M56" s="1" t="s">
        <v>561</v>
      </c>
      <c r="N56" s="35">
        <v>51</v>
      </c>
      <c r="O56" s="1" t="s">
        <v>55</v>
      </c>
      <c r="P56" s="1" t="s">
        <v>58</v>
      </c>
      <c r="Q56" s="35" t="s">
        <v>63</v>
      </c>
      <c r="R56" s="35">
        <v>18</v>
      </c>
      <c r="S56" s="1" t="s">
        <v>562</v>
      </c>
      <c r="T56" s="1" t="s">
        <v>55</v>
      </c>
      <c r="U56" s="35" t="s">
        <v>112</v>
      </c>
      <c r="V56" s="4" t="s">
        <v>563</v>
      </c>
      <c r="W56" s="35" t="s">
        <v>63</v>
      </c>
      <c r="X56" s="1" t="s">
        <v>564</v>
      </c>
      <c r="Y56" s="35" t="s">
        <v>59</v>
      </c>
      <c r="Z56" s="1"/>
      <c r="AA56" s="35">
        <v>10</v>
      </c>
      <c r="AB56" s="25" t="s">
        <v>565</v>
      </c>
      <c r="AC56" s="1" t="s">
        <v>566</v>
      </c>
      <c r="AD56" s="40" t="s">
        <v>66</v>
      </c>
      <c r="AE56" s="1" t="s">
        <v>274</v>
      </c>
      <c r="AF56" s="35" t="s">
        <v>59</v>
      </c>
      <c r="AG56" s="35" t="s">
        <v>63</v>
      </c>
      <c r="AH56" s="35" t="s">
        <v>63</v>
      </c>
      <c r="AI56" s="25" t="s">
        <v>59</v>
      </c>
      <c r="AJ56" s="49" t="s">
        <v>59</v>
      </c>
      <c r="AK56" s="35"/>
      <c r="AL56" s="35" t="s">
        <v>59</v>
      </c>
      <c r="AM56" s="35" t="s">
        <v>63</v>
      </c>
      <c r="AN56" s="35"/>
      <c r="AO56" s="35"/>
      <c r="AP56" s="35" t="s">
        <v>63</v>
      </c>
      <c r="AQ56" s="85"/>
      <c r="AR56" s="1"/>
      <c r="AS56" t="str">
        <f t="shared" si="0"/>
        <v/>
      </c>
    </row>
    <row r="57" spans="1:45" ht="48" x14ac:dyDescent="0.2">
      <c r="A57" s="97"/>
      <c r="B57" s="1">
        <v>77</v>
      </c>
      <c r="C57" s="1" t="s">
        <v>567</v>
      </c>
      <c r="D57" s="1" t="s">
        <v>549</v>
      </c>
      <c r="E57" s="2" t="s">
        <v>568</v>
      </c>
      <c r="F57" s="1" t="s">
        <v>459</v>
      </c>
      <c r="G57" s="3">
        <v>2023</v>
      </c>
      <c r="H57" s="1" t="s">
        <v>569</v>
      </c>
      <c r="I57" s="35" t="s">
        <v>63</v>
      </c>
      <c r="J57" s="1"/>
      <c r="K57" s="35" t="s">
        <v>55</v>
      </c>
      <c r="L57" s="35" t="s">
        <v>55</v>
      </c>
      <c r="M57" s="1" t="s">
        <v>55</v>
      </c>
      <c r="N57" s="35" t="s">
        <v>55</v>
      </c>
      <c r="O57" s="1" t="s">
        <v>55</v>
      </c>
      <c r="P57" s="1" t="s">
        <v>55</v>
      </c>
      <c r="Q57" s="35" t="s">
        <v>55</v>
      </c>
      <c r="R57" s="35">
        <v>6</v>
      </c>
      <c r="S57" s="1" t="s">
        <v>570</v>
      </c>
      <c r="T57" s="1" t="s">
        <v>55</v>
      </c>
      <c r="U57" s="35" t="s">
        <v>112</v>
      </c>
      <c r="V57" s="4" t="s">
        <v>571</v>
      </c>
      <c r="W57" s="35" t="s">
        <v>63</v>
      </c>
      <c r="X57" s="1" t="s">
        <v>55</v>
      </c>
      <c r="Y57" s="35" t="s">
        <v>59</v>
      </c>
      <c r="Z57" s="1"/>
      <c r="AA57" s="35" t="s">
        <v>55</v>
      </c>
      <c r="AB57" s="25">
        <v>50</v>
      </c>
      <c r="AC57" s="1" t="s">
        <v>65</v>
      </c>
      <c r="AD57" s="1" t="s">
        <v>572</v>
      </c>
      <c r="AE57" s="1" t="s">
        <v>67</v>
      </c>
      <c r="AF57" s="35" t="s">
        <v>59</v>
      </c>
      <c r="AG57" s="35" t="s">
        <v>63</v>
      </c>
      <c r="AH57" s="35" t="s">
        <v>59</v>
      </c>
      <c r="AI57" s="25" t="s">
        <v>59</v>
      </c>
      <c r="AJ57" s="49" t="s">
        <v>59</v>
      </c>
      <c r="AK57" s="35"/>
      <c r="AL57" s="35" t="s">
        <v>59</v>
      </c>
      <c r="AM57" s="35" t="s">
        <v>59</v>
      </c>
      <c r="AN57" s="35" t="s">
        <v>68</v>
      </c>
      <c r="AO57" s="35"/>
      <c r="AP57" s="35" t="s">
        <v>59</v>
      </c>
      <c r="AQ57" s="25" t="s">
        <v>81</v>
      </c>
      <c r="AR57" s="1"/>
      <c r="AS57" t="str">
        <f t="shared" si="0"/>
        <v/>
      </c>
    </row>
    <row r="58" spans="1:45" ht="48" x14ac:dyDescent="0.2">
      <c r="A58" s="97"/>
      <c r="B58" s="1">
        <v>107</v>
      </c>
      <c r="C58" s="1" t="s">
        <v>573</v>
      </c>
      <c r="D58" s="1" t="s">
        <v>549</v>
      </c>
      <c r="E58" s="2" t="s">
        <v>574</v>
      </c>
      <c r="F58" s="1" t="s">
        <v>417</v>
      </c>
      <c r="G58" s="3">
        <v>2023</v>
      </c>
      <c r="H58" s="1" t="s">
        <v>551</v>
      </c>
      <c r="I58" s="35" t="s">
        <v>63</v>
      </c>
      <c r="J58" s="1"/>
      <c r="K58" s="35">
        <v>10</v>
      </c>
      <c r="L58" s="35" t="s">
        <v>55</v>
      </c>
      <c r="M58" s="1" t="s">
        <v>575</v>
      </c>
      <c r="N58" s="35">
        <v>2</v>
      </c>
      <c r="O58" s="1" t="s">
        <v>55</v>
      </c>
      <c r="P58" s="1" t="s">
        <v>186</v>
      </c>
      <c r="Q58" s="35" t="s">
        <v>59</v>
      </c>
      <c r="R58" s="35">
        <v>11</v>
      </c>
      <c r="S58" s="1" t="s">
        <v>576</v>
      </c>
      <c r="T58" s="1" t="s">
        <v>55</v>
      </c>
      <c r="U58" s="35" t="s">
        <v>112</v>
      </c>
      <c r="V58" s="4" t="s">
        <v>577</v>
      </c>
      <c r="W58" s="35" t="s">
        <v>63</v>
      </c>
      <c r="X58" s="1" t="s">
        <v>55</v>
      </c>
      <c r="Y58" s="35" t="s">
        <v>59</v>
      </c>
      <c r="Z58" s="1"/>
      <c r="AA58" s="35">
        <v>10</v>
      </c>
      <c r="AB58" s="25">
        <v>50</v>
      </c>
      <c r="AC58" s="1" t="s">
        <v>55</v>
      </c>
      <c r="AD58" s="1" t="s">
        <v>578</v>
      </c>
      <c r="AE58" s="1" t="s">
        <v>80</v>
      </c>
      <c r="AF58" s="35" t="s">
        <v>63</v>
      </c>
      <c r="AG58" s="35" t="s">
        <v>59</v>
      </c>
      <c r="AH58" s="35" t="s">
        <v>59</v>
      </c>
      <c r="AI58" s="25" t="s">
        <v>59</v>
      </c>
      <c r="AJ58" s="49" t="s">
        <v>59</v>
      </c>
      <c r="AK58" s="35"/>
      <c r="AL58" s="35" t="s">
        <v>59</v>
      </c>
      <c r="AM58" s="35" t="s">
        <v>59</v>
      </c>
      <c r="AN58" s="35" t="s">
        <v>68</v>
      </c>
      <c r="AO58" s="35"/>
      <c r="AP58" s="35" t="s">
        <v>59</v>
      </c>
      <c r="AQ58" s="25" t="s">
        <v>81</v>
      </c>
      <c r="AR58" s="1"/>
      <c r="AS58" t="str">
        <f t="shared" si="0"/>
        <v/>
      </c>
    </row>
    <row r="59" spans="1:45" ht="112" x14ac:dyDescent="0.2">
      <c r="A59" s="97"/>
      <c r="B59" s="1">
        <v>104</v>
      </c>
      <c r="C59" s="1" t="s">
        <v>579</v>
      </c>
      <c r="D59" s="1" t="s">
        <v>549</v>
      </c>
      <c r="E59" s="1" t="s">
        <v>580</v>
      </c>
      <c r="F59" s="1" t="s">
        <v>417</v>
      </c>
      <c r="G59" s="3">
        <v>2023</v>
      </c>
      <c r="H59" s="1" t="s">
        <v>209</v>
      </c>
      <c r="I59" s="35" t="s">
        <v>63</v>
      </c>
      <c r="J59" s="1"/>
      <c r="K59" s="35">
        <v>32</v>
      </c>
      <c r="L59" s="35" t="s">
        <v>55</v>
      </c>
      <c r="M59" s="1" t="s">
        <v>55</v>
      </c>
      <c r="N59" s="35">
        <v>16</v>
      </c>
      <c r="O59" s="1" t="s">
        <v>581</v>
      </c>
      <c r="P59" s="1" t="s">
        <v>55</v>
      </c>
      <c r="Q59" s="35" t="s">
        <v>55</v>
      </c>
      <c r="R59" s="35">
        <v>14</v>
      </c>
      <c r="S59" s="1" t="s">
        <v>582</v>
      </c>
      <c r="T59" s="1" t="s">
        <v>55</v>
      </c>
      <c r="U59" s="35" t="s">
        <v>222</v>
      </c>
      <c r="V59" s="4" t="s">
        <v>583</v>
      </c>
      <c r="W59" s="35" t="s">
        <v>63</v>
      </c>
      <c r="X59" s="1" t="s">
        <v>584</v>
      </c>
      <c r="Y59" s="35" t="s">
        <v>59</v>
      </c>
      <c r="Z59" s="1"/>
      <c r="AA59" s="35">
        <v>3</v>
      </c>
      <c r="AB59" s="25">
        <v>50</v>
      </c>
      <c r="AC59" s="1" t="s">
        <v>106</v>
      </c>
      <c r="AD59" s="1" t="s">
        <v>578</v>
      </c>
      <c r="AE59" s="1" t="s">
        <v>80</v>
      </c>
      <c r="AF59" s="35" t="s">
        <v>63</v>
      </c>
      <c r="AG59" s="35" t="s">
        <v>59</v>
      </c>
      <c r="AH59" s="35" t="s">
        <v>59</v>
      </c>
      <c r="AI59" s="25" t="s">
        <v>59</v>
      </c>
      <c r="AJ59" s="49" t="s">
        <v>59</v>
      </c>
      <c r="AK59" s="35"/>
      <c r="AL59" s="35" t="s">
        <v>59</v>
      </c>
      <c r="AM59" s="35" t="s">
        <v>59</v>
      </c>
      <c r="AN59" s="35" t="s">
        <v>68</v>
      </c>
      <c r="AO59" s="35"/>
      <c r="AP59" s="35" t="s">
        <v>59</v>
      </c>
      <c r="AQ59" s="25" t="s">
        <v>81</v>
      </c>
      <c r="AR59" s="1"/>
      <c r="AS59" t="str">
        <f t="shared" si="0"/>
        <v/>
      </c>
    </row>
    <row r="60" spans="1:45" ht="85" x14ac:dyDescent="0.2">
      <c r="A60" s="97"/>
      <c r="B60" s="36">
        <v>139</v>
      </c>
      <c r="C60" s="36" t="s">
        <v>585</v>
      </c>
      <c r="D60" s="36" t="s">
        <v>549</v>
      </c>
      <c r="E60" s="36" t="s">
        <v>586</v>
      </c>
      <c r="F60" s="36" t="s">
        <v>129</v>
      </c>
      <c r="G60" s="58">
        <v>2024</v>
      </c>
      <c r="H60" s="36" t="s">
        <v>551</v>
      </c>
      <c r="I60" s="37" t="s">
        <v>63</v>
      </c>
      <c r="J60" s="36"/>
      <c r="K60" s="37">
        <v>10</v>
      </c>
      <c r="L60" s="37" t="s">
        <v>55</v>
      </c>
      <c r="M60" s="36" t="s">
        <v>552</v>
      </c>
      <c r="N60" s="37">
        <v>2</v>
      </c>
      <c r="O60" s="36" t="s">
        <v>55</v>
      </c>
      <c r="P60" s="40" t="s">
        <v>587</v>
      </c>
      <c r="Q60" s="37" t="s">
        <v>59</v>
      </c>
      <c r="R60" s="37">
        <v>11</v>
      </c>
      <c r="S60" s="36" t="s">
        <v>588</v>
      </c>
      <c r="T60" s="36" t="s">
        <v>55</v>
      </c>
      <c r="U60" s="37" t="s">
        <v>55</v>
      </c>
      <c r="V60" s="57" t="s">
        <v>589</v>
      </c>
      <c r="W60" s="37" t="s">
        <v>63</v>
      </c>
      <c r="X60" s="36" t="s">
        <v>55</v>
      </c>
      <c r="Y60" s="37" t="s">
        <v>59</v>
      </c>
      <c r="Z60" s="36"/>
      <c r="AA60" s="37" t="s">
        <v>590</v>
      </c>
      <c r="AB60" s="38" t="s">
        <v>591</v>
      </c>
      <c r="AC60" s="36" t="s">
        <v>55</v>
      </c>
      <c r="AD60" s="36" t="s">
        <v>592</v>
      </c>
      <c r="AE60" s="36" t="s">
        <v>593</v>
      </c>
      <c r="AF60" s="37" t="s">
        <v>59</v>
      </c>
      <c r="AG60" s="37" t="s">
        <v>59</v>
      </c>
      <c r="AH60" s="37" t="s">
        <v>59</v>
      </c>
      <c r="AI60" s="38" t="s">
        <v>59</v>
      </c>
      <c r="AJ60" s="50" t="s">
        <v>59</v>
      </c>
      <c r="AK60" s="37"/>
      <c r="AL60" s="37" t="s">
        <v>59</v>
      </c>
      <c r="AM60" s="37" t="s">
        <v>59</v>
      </c>
      <c r="AN60" s="37" t="s">
        <v>68</v>
      </c>
      <c r="AO60" s="37"/>
      <c r="AP60" s="37" t="s">
        <v>59</v>
      </c>
      <c r="AQ60" s="38" t="s">
        <v>94</v>
      </c>
      <c r="AR60" s="1"/>
      <c r="AS60" t="str">
        <f t="shared" si="0"/>
        <v/>
      </c>
    </row>
    <row r="61" spans="1:45" ht="102" x14ac:dyDescent="0.2">
      <c r="A61" s="97"/>
      <c r="B61" s="36">
        <v>143</v>
      </c>
      <c r="C61" s="36" t="s">
        <v>594</v>
      </c>
      <c r="D61" s="36" t="s">
        <v>549</v>
      </c>
      <c r="E61" s="36" t="s">
        <v>595</v>
      </c>
      <c r="F61" s="36" t="s">
        <v>208</v>
      </c>
      <c r="G61" s="58">
        <v>2025</v>
      </c>
      <c r="H61" s="36" t="s">
        <v>596</v>
      </c>
      <c r="I61" s="37" t="s">
        <v>63</v>
      </c>
      <c r="J61" s="36"/>
      <c r="K61" s="37" t="s">
        <v>55</v>
      </c>
      <c r="L61" s="37" t="s">
        <v>55</v>
      </c>
      <c r="M61" s="36" t="s">
        <v>177</v>
      </c>
      <c r="N61" s="37">
        <v>3</v>
      </c>
      <c r="O61" s="36" t="s">
        <v>55</v>
      </c>
      <c r="P61" s="40" t="s">
        <v>58</v>
      </c>
      <c r="Q61" s="37" t="s">
        <v>59</v>
      </c>
      <c r="R61" s="37">
        <v>6</v>
      </c>
      <c r="S61" s="36" t="s">
        <v>597</v>
      </c>
      <c r="T61" s="36" t="s">
        <v>55</v>
      </c>
      <c r="U61" s="37" t="s">
        <v>222</v>
      </c>
      <c r="V61" s="57" t="s">
        <v>598</v>
      </c>
      <c r="W61" s="37" t="s">
        <v>63</v>
      </c>
      <c r="X61" s="36" t="s">
        <v>599</v>
      </c>
      <c r="Y61" s="37" t="s">
        <v>59</v>
      </c>
      <c r="Z61" s="36"/>
      <c r="AA61" s="37">
        <v>3</v>
      </c>
      <c r="AB61" s="38">
        <v>50</v>
      </c>
      <c r="AC61" s="36" t="s">
        <v>106</v>
      </c>
      <c r="AD61" s="36" t="s">
        <v>592</v>
      </c>
      <c r="AE61" s="36" t="s">
        <v>67</v>
      </c>
      <c r="AF61" s="37" t="s">
        <v>600</v>
      </c>
      <c r="AG61" s="37" t="s">
        <v>59</v>
      </c>
      <c r="AH61" s="37" t="s">
        <v>59</v>
      </c>
      <c r="AI61" s="38" t="s">
        <v>59</v>
      </c>
      <c r="AJ61" s="50" t="s">
        <v>59</v>
      </c>
      <c r="AK61" s="37"/>
      <c r="AL61" s="37" t="s">
        <v>59</v>
      </c>
      <c r="AM61" s="37" t="s">
        <v>59</v>
      </c>
      <c r="AN61" s="37" t="s">
        <v>68</v>
      </c>
      <c r="AO61" s="37"/>
      <c r="AP61" s="37" t="s">
        <v>59</v>
      </c>
      <c r="AQ61" s="38" t="s">
        <v>94</v>
      </c>
      <c r="AR61" s="23"/>
      <c r="AS61" t="str">
        <f t="shared" si="0"/>
        <v/>
      </c>
    </row>
    <row r="62" spans="1:45" ht="64" x14ac:dyDescent="0.2">
      <c r="A62" s="97"/>
      <c r="B62" s="1">
        <v>108</v>
      </c>
      <c r="C62" s="1" t="s">
        <v>601</v>
      </c>
      <c r="D62" s="1" t="s">
        <v>602</v>
      </c>
      <c r="E62" s="2" t="s">
        <v>603</v>
      </c>
      <c r="F62" s="1" t="s">
        <v>472</v>
      </c>
      <c r="G62" s="3">
        <v>2020</v>
      </c>
      <c r="H62" s="1" t="s">
        <v>497</v>
      </c>
      <c r="I62" s="35" t="s">
        <v>63</v>
      </c>
      <c r="J62" s="1"/>
      <c r="K62" s="35">
        <v>51.2</v>
      </c>
      <c r="L62" s="35" t="s">
        <v>55</v>
      </c>
      <c r="M62" s="1" t="s">
        <v>604</v>
      </c>
      <c r="N62" s="35" t="s">
        <v>55</v>
      </c>
      <c r="O62" s="1" t="s">
        <v>55</v>
      </c>
      <c r="P62" s="1" t="s">
        <v>58</v>
      </c>
      <c r="Q62" s="35" t="s">
        <v>63</v>
      </c>
      <c r="R62" s="35">
        <v>18</v>
      </c>
      <c r="S62" s="1" t="s">
        <v>105</v>
      </c>
      <c r="T62" s="1" t="s">
        <v>105</v>
      </c>
      <c r="U62" s="35" t="s">
        <v>112</v>
      </c>
      <c r="V62" s="4" t="s">
        <v>605</v>
      </c>
      <c r="W62" s="35" t="s">
        <v>63</v>
      </c>
      <c r="X62" s="1" t="s">
        <v>606</v>
      </c>
      <c r="Y62" s="35" t="s">
        <v>63</v>
      </c>
      <c r="Z62" s="1" t="s">
        <v>607</v>
      </c>
      <c r="AA62" s="35">
        <v>4</v>
      </c>
      <c r="AB62" s="25">
        <v>0</v>
      </c>
      <c r="AC62" s="1" t="s">
        <v>608</v>
      </c>
      <c r="AD62" s="1" t="s">
        <v>174</v>
      </c>
      <c r="AE62" s="1" t="s">
        <v>609</v>
      </c>
      <c r="AF62" s="35" t="s">
        <v>59</v>
      </c>
      <c r="AG62" s="35" t="s">
        <v>59</v>
      </c>
      <c r="AH62" s="35" t="s">
        <v>59</v>
      </c>
      <c r="AI62" s="25" t="s">
        <v>59</v>
      </c>
      <c r="AJ62" s="49" t="s">
        <v>59</v>
      </c>
      <c r="AK62" s="35"/>
      <c r="AL62" s="35" t="s">
        <v>59</v>
      </c>
      <c r="AM62" s="35" t="s">
        <v>59</v>
      </c>
      <c r="AN62" s="35" t="s">
        <v>68</v>
      </c>
      <c r="AO62" s="35"/>
      <c r="AP62" s="35" t="s">
        <v>59</v>
      </c>
      <c r="AQ62" s="25" t="s">
        <v>81</v>
      </c>
      <c r="AR62" s="1"/>
      <c r="AS62" t="str">
        <f t="shared" si="0"/>
        <v/>
      </c>
    </row>
    <row r="63" spans="1:45" ht="112" x14ac:dyDescent="0.2">
      <c r="A63" s="97"/>
      <c r="B63" s="1">
        <v>106</v>
      </c>
      <c r="C63" s="1" t="s">
        <v>610</v>
      </c>
      <c r="D63" s="1" t="s">
        <v>611</v>
      </c>
      <c r="E63" s="2" t="s">
        <v>612</v>
      </c>
      <c r="F63" s="1" t="s">
        <v>290</v>
      </c>
      <c r="G63" s="3">
        <v>2019</v>
      </c>
      <c r="H63" s="1" t="s">
        <v>54</v>
      </c>
      <c r="I63" s="35" t="s">
        <v>55</v>
      </c>
      <c r="J63" s="1"/>
      <c r="K63" s="35" t="s">
        <v>55</v>
      </c>
      <c r="L63" s="35" t="s">
        <v>55</v>
      </c>
      <c r="M63" s="1" t="s">
        <v>55</v>
      </c>
      <c r="N63" s="35">
        <v>10</v>
      </c>
      <c r="O63" s="1" t="s">
        <v>613</v>
      </c>
      <c r="P63" s="40" t="s">
        <v>58</v>
      </c>
      <c r="Q63" s="35" t="s">
        <v>59</v>
      </c>
      <c r="R63" s="35">
        <v>12</v>
      </c>
      <c r="S63" s="1" t="s">
        <v>582</v>
      </c>
      <c r="T63" s="1" t="s">
        <v>150</v>
      </c>
      <c r="U63" s="35" t="s">
        <v>614</v>
      </c>
      <c r="V63" s="4" t="s">
        <v>615</v>
      </c>
      <c r="W63" s="35" t="s">
        <v>63</v>
      </c>
      <c r="X63" s="1" t="s">
        <v>616</v>
      </c>
      <c r="Y63" s="35" t="s">
        <v>63</v>
      </c>
      <c r="Z63" s="1" t="s">
        <v>105</v>
      </c>
      <c r="AA63" s="35" t="s">
        <v>617</v>
      </c>
      <c r="AB63" s="25">
        <v>50</v>
      </c>
      <c r="AC63" s="1" t="s">
        <v>65</v>
      </c>
      <c r="AD63" s="1" t="s">
        <v>618</v>
      </c>
      <c r="AE63" s="1" t="s">
        <v>619</v>
      </c>
      <c r="AF63" s="35" t="s">
        <v>63</v>
      </c>
      <c r="AG63" s="35" t="s">
        <v>59</v>
      </c>
      <c r="AH63" s="35" t="s">
        <v>59</v>
      </c>
      <c r="AI63" s="25" t="s">
        <v>59</v>
      </c>
      <c r="AJ63" s="49" t="s">
        <v>59</v>
      </c>
      <c r="AK63" s="35"/>
      <c r="AL63" s="35" t="s">
        <v>59</v>
      </c>
      <c r="AM63" s="35" t="s">
        <v>59</v>
      </c>
      <c r="AN63" s="35" t="s">
        <v>68</v>
      </c>
      <c r="AO63" s="35"/>
      <c r="AP63" s="35" t="s">
        <v>59</v>
      </c>
      <c r="AQ63" s="25" t="s">
        <v>69</v>
      </c>
      <c r="AR63" s="1"/>
      <c r="AS63" t="str">
        <f t="shared" si="0"/>
        <v/>
      </c>
    </row>
    <row r="64" spans="1:45" s="19" customFormat="1" ht="102" x14ac:dyDescent="0.2">
      <c r="A64" s="97"/>
      <c r="B64" s="36">
        <v>149</v>
      </c>
      <c r="C64" s="36" t="s">
        <v>620</v>
      </c>
      <c r="D64" s="36" t="s">
        <v>621</v>
      </c>
      <c r="E64" s="59" t="s">
        <v>622</v>
      </c>
      <c r="F64" s="36" t="s">
        <v>417</v>
      </c>
      <c r="G64" s="58">
        <v>2024</v>
      </c>
      <c r="H64" s="36" t="s">
        <v>623</v>
      </c>
      <c r="I64" s="37" t="s">
        <v>63</v>
      </c>
      <c r="J64" s="36"/>
      <c r="K64" s="37">
        <v>32</v>
      </c>
      <c r="L64" s="37">
        <v>3</v>
      </c>
      <c r="M64" s="36" t="s">
        <v>55</v>
      </c>
      <c r="N64" s="37">
        <v>16</v>
      </c>
      <c r="O64" s="36" t="s">
        <v>55</v>
      </c>
      <c r="P64" s="40" t="s">
        <v>58</v>
      </c>
      <c r="Q64" s="37" t="s">
        <v>55</v>
      </c>
      <c r="R64" s="37">
        <v>8</v>
      </c>
      <c r="S64" s="36" t="s">
        <v>624</v>
      </c>
      <c r="T64" s="36" t="s">
        <v>55</v>
      </c>
      <c r="U64" s="37" t="s">
        <v>222</v>
      </c>
      <c r="V64" s="57" t="s">
        <v>625</v>
      </c>
      <c r="W64" s="37" t="s">
        <v>478</v>
      </c>
      <c r="X64" s="36" t="s">
        <v>55</v>
      </c>
      <c r="Y64" s="37" t="s">
        <v>626</v>
      </c>
      <c r="Z64" s="36"/>
      <c r="AA64" s="37" t="s">
        <v>55</v>
      </c>
      <c r="AB64" s="38" t="s">
        <v>55</v>
      </c>
      <c r="AC64" s="36" t="s">
        <v>65</v>
      </c>
      <c r="AD64" s="36" t="s">
        <v>66</v>
      </c>
      <c r="AE64" s="36" t="s">
        <v>241</v>
      </c>
      <c r="AF64" s="39" t="s">
        <v>627</v>
      </c>
      <c r="AG64" s="37" t="s">
        <v>59</v>
      </c>
      <c r="AH64" s="37" t="s">
        <v>63</v>
      </c>
      <c r="AI64" s="38" t="s">
        <v>59</v>
      </c>
      <c r="AJ64" s="50" t="s">
        <v>59</v>
      </c>
      <c r="AK64" s="37"/>
      <c r="AL64" s="37" t="s">
        <v>59</v>
      </c>
      <c r="AM64" s="37" t="s">
        <v>59</v>
      </c>
      <c r="AN64" s="37" t="s">
        <v>82</v>
      </c>
      <c r="AO64" s="37"/>
      <c r="AP64" s="37" t="s">
        <v>59</v>
      </c>
      <c r="AQ64" s="38" t="s">
        <v>94</v>
      </c>
      <c r="AR64" s="23"/>
      <c r="AS64" t="str">
        <f t="shared" si="0"/>
        <v/>
      </c>
    </row>
    <row r="65" spans="1:45" ht="96" x14ac:dyDescent="0.2">
      <c r="A65" s="97"/>
      <c r="B65" s="1">
        <v>35</v>
      </c>
      <c r="C65" s="1" t="s">
        <v>628</v>
      </c>
      <c r="D65" s="1" t="s">
        <v>629</v>
      </c>
      <c r="E65" s="2" t="s">
        <v>630</v>
      </c>
      <c r="F65" s="1" t="s">
        <v>86</v>
      </c>
      <c r="G65" s="3">
        <v>2019</v>
      </c>
      <c r="H65" s="1" t="s">
        <v>631</v>
      </c>
      <c r="I65" s="35" t="s">
        <v>63</v>
      </c>
      <c r="J65" s="1"/>
      <c r="K65" s="35">
        <v>83</v>
      </c>
      <c r="L65" s="35">
        <v>8</v>
      </c>
      <c r="M65" s="1" t="s">
        <v>356</v>
      </c>
      <c r="N65" s="35">
        <v>35</v>
      </c>
      <c r="O65" s="1" t="s">
        <v>632</v>
      </c>
      <c r="P65" s="1" t="s">
        <v>58</v>
      </c>
      <c r="Q65" s="35" t="s">
        <v>63</v>
      </c>
      <c r="R65" s="35">
        <v>16</v>
      </c>
      <c r="S65" s="1" t="s">
        <v>633</v>
      </c>
      <c r="T65" s="1" t="s">
        <v>55</v>
      </c>
      <c r="U65" s="35" t="s">
        <v>55</v>
      </c>
      <c r="V65" s="4" t="s">
        <v>634</v>
      </c>
      <c r="W65" s="35" t="s">
        <v>63</v>
      </c>
      <c r="X65" s="1" t="s">
        <v>55</v>
      </c>
      <c r="Y65" s="35" t="s">
        <v>59</v>
      </c>
      <c r="Z65" s="1"/>
      <c r="AA65" s="35">
        <v>2.5</v>
      </c>
      <c r="AB65" s="25" t="s">
        <v>55</v>
      </c>
      <c r="AC65" s="1" t="s">
        <v>120</v>
      </c>
      <c r="AD65" s="1" t="s">
        <v>66</v>
      </c>
      <c r="AE65" s="1" t="s">
        <v>635</v>
      </c>
      <c r="AF65" s="35" t="s">
        <v>63</v>
      </c>
      <c r="AG65" s="35" t="s">
        <v>63</v>
      </c>
      <c r="AH65" s="35" t="s">
        <v>59</v>
      </c>
      <c r="AI65" s="25" t="s">
        <v>59</v>
      </c>
      <c r="AJ65" s="49" t="s">
        <v>59</v>
      </c>
      <c r="AK65" s="35"/>
      <c r="AL65" s="35" t="s">
        <v>59</v>
      </c>
      <c r="AM65" s="35" t="s">
        <v>59</v>
      </c>
      <c r="AN65" s="35" t="s">
        <v>68</v>
      </c>
      <c r="AO65" s="35"/>
      <c r="AP65" s="35" t="s">
        <v>59</v>
      </c>
      <c r="AQ65" s="25" t="s">
        <v>94</v>
      </c>
      <c r="AR65" s="1"/>
      <c r="AS65" t="str">
        <f t="shared" si="0"/>
        <v/>
      </c>
    </row>
    <row r="66" spans="1:45" ht="80" x14ac:dyDescent="0.2">
      <c r="A66" s="97"/>
      <c r="B66" s="1">
        <v>70</v>
      </c>
      <c r="C66" s="1" t="s">
        <v>636</v>
      </c>
      <c r="D66" s="1" t="s">
        <v>637</v>
      </c>
      <c r="E66" s="1" t="s">
        <v>638</v>
      </c>
      <c r="F66" s="1" t="s">
        <v>417</v>
      </c>
      <c r="G66" s="3">
        <v>2020</v>
      </c>
      <c r="H66" s="1" t="s">
        <v>109</v>
      </c>
      <c r="I66" s="35" t="s">
        <v>63</v>
      </c>
      <c r="J66" s="1"/>
      <c r="K66" s="35">
        <v>100</v>
      </c>
      <c r="L66" s="35" t="s">
        <v>55</v>
      </c>
      <c r="M66" s="1" t="s">
        <v>55</v>
      </c>
      <c r="N66" s="35">
        <v>9</v>
      </c>
      <c r="O66" s="1" t="s">
        <v>639</v>
      </c>
      <c r="P66" s="1" t="s">
        <v>58</v>
      </c>
      <c r="Q66" s="35" t="s">
        <v>55</v>
      </c>
      <c r="R66" s="35">
        <v>11</v>
      </c>
      <c r="S66" s="1" t="s">
        <v>640</v>
      </c>
      <c r="T66" s="1" t="s">
        <v>55</v>
      </c>
      <c r="U66" s="35" t="s">
        <v>55</v>
      </c>
      <c r="V66" s="4" t="s">
        <v>641</v>
      </c>
      <c r="W66" s="35" t="s">
        <v>63</v>
      </c>
      <c r="X66" s="1" t="s">
        <v>55</v>
      </c>
      <c r="Y66" s="35" t="s">
        <v>63</v>
      </c>
      <c r="Z66" s="1" t="s">
        <v>150</v>
      </c>
      <c r="AA66" s="35">
        <v>5</v>
      </c>
      <c r="AB66" s="25">
        <v>0</v>
      </c>
      <c r="AC66" s="1" t="s">
        <v>106</v>
      </c>
      <c r="AD66" s="1" t="s">
        <v>642</v>
      </c>
      <c r="AE66" s="1" t="s">
        <v>67</v>
      </c>
      <c r="AF66" s="35" t="s">
        <v>63</v>
      </c>
      <c r="AG66" s="35" t="s">
        <v>63</v>
      </c>
      <c r="AH66" s="35" t="s">
        <v>59</v>
      </c>
      <c r="AI66" s="25" t="s">
        <v>59</v>
      </c>
      <c r="AJ66" s="49" t="s">
        <v>59</v>
      </c>
      <c r="AK66" s="35"/>
      <c r="AL66" s="35" t="s">
        <v>59</v>
      </c>
      <c r="AM66" s="35" t="s">
        <v>59</v>
      </c>
      <c r="AN66" s="35" t="s">
        <v>68</v>
      </c>
      <c r="AO66" s="35"/>
      <c r="AP66" s="35" t="s">
        <v>59</v>
      </c>
      <c r="AQ66" s="25" t="s">
        <v>81</v>
      </c>
      <c r="AR66" s="1"/>
      <c r="AS66" t="str">
        <f t="shared" si="0"/>
        <v/>
      </c>
    </row>
    <row r="67" spans="1:45" ht="48" x14ac:dyDescent="0.2">
      <c r="A67" s="97"/>
      <c r="B67" s="1">
        <v>57</v>
      </c>
      <c r="C67" s="1" t="s">
        <v>643</v>
      </c>
      <c r="D67" s="1" t="s">
        <v>644</v>
      </c>
      <c r="E67" s="2" t="s">
        <v>645</v>
      </c>
      <c r="F67" s="1" t="s">
        <v>53</v>
      </c>
      <c r="G67" s="3">
        <v>2022</v>
      </c>
      <c r="H67" s="1" t="s">
        <v>646</v>
      </c>
      <c r="I67" s="35" t="s">
        <v>63</v>
      </c>
      <c r="J67" s="1"/>
      <c r="K67" s="35">
        <v>25</v>
      </c>
      <c r="L67" s="35" t="s">
        <v>55</v>
      </c>
      <c r="M67" s="1" t="s">
        <v>55</v>
      </c>
      <c r="N67" s="35" t="s">
        <v>55</v>
      </c>
      <c r="O67" s="1" t="s">
        <v>55</v>
      </c>
      <c r="P67" s="1" t="s">
        <v>55</v>
      </c>
      <c r="Q67" s="35" t="s">
        <v>55</v>
      </c>
      <c r="R67" s="35">
        <v>8</v>
      </c>
      <c r="S67" s="1" t="s">
        <v>647</v>
      </c>
      <c r="T67" s="1" t="s">
        <v>55</v>
      </c>
      <c r="U67" s="35" t="s">
        <v>55</v>
      </c>
      <c r="V67" s="4" t="s">
        <v>648</v>
      </c>
      <c r="W67" s="35" t="s">
        <v>63</v>
      </c>
      <c r="X67" s="1" t="s">
        <v>511</v>
      </c>
      <c r="Y67" s="35" t="s">
        <v>59</v>
      </c>
      <c r="Z67" s="1"/>
      <c r="AA67" s="35">
        <v>20</v>
      </c>
      <c r="AB67" s="25" t="s">
        <v>55</v>
      </c>
      <c r="AC67" s="1" t="s">
        <v>55</v>
      </c>
      <c r="AD67" s="1" t="s">
        <v>649</v>
      </c>
      <c r="AE67" s="1" t="s">
        <v>67</v>
      </c>
      <c r="AF67" s="35" t="s">
        <v>63</v>
      </c>
      <c r="AG67" s="35" t="s">
        <v>63</v>
      </c>
      <c r="AH67" s="35" t="s">
        <v>59</v>
      </c>
      <c r="AI67" s="25" t="s">
        <v>59</v>
      </c>
      <c r="AJ67" s="49" t="s">
        <v>59</v>
      </c>
      <c r="AK67" s="35"/>
      <c r="AL67" s="35" t="s">
        <v>59</v>
      </c>
      <c r="AM67" s="35" t="s">
        <v>59</v>
      </c>
      <c r="AN67" s="35" t="s">
        <v>93</v>
      </c>
      <c r="AO67" s="35"/>
      <c r="AP67" s="35" t="s">
        <v>59</v>
      </c>
      <c r="AQ67" s="25" t="s">
        <v>81</v>
      </c>
      <c r="AR67" s="1"/>
      <c r="AS67" t="str">
        <f t="shared" si="0"/>
        <v/>
      </c>
    </row>
    <row r="68" spans="1:45" ht="64" x14ac:dyDescent="0.2">
      <c r="A68" s="97"/>
      <c r="B68" s="1">
        <v>68</v>
      </c>
      <c r="C68" s="1" t="s">
        <v>650</v>
      </c>
      <c r="D68" s="1" t="s">
        <v>651</v>
      </c>
      <c r="E68" s="1" t="s">
        <v>652</v>
      </c>
      <c r="F68" s="1" t="s">
        <v>290</v>
      </c>
      <c r="G68" s="3">
        <v>2015</v>
      </c>
      <c r="H68" s="1" t="s">
        <v>54</v>
      </c>
      <c r="I68" s="35" t="s">
        <v>55</v>
      </c>
      <c r="J68" s="1"/>
      <c r="K68" s="35">
        <v>50</v>
      </c>
      <c r="L68" s="35">
        <v>8</v>
      </c>
      <c r="M68" s="1" t="s">
        <v>653</v>
      </c>
      <c r="N68" s="35" t="s">
        <v>55</v>
      </c>
      <c r="O68" s="1" t="s">
        <v>55</v>
      </c>
      <c r="P68" s="1" t="s">
        <v>55</v>
      </c>
      <c r="Q68" s="35" t="s">
        <v>55</v>
      </c>
      <c r="R68" s="35">
        <v>6</v>
      </c>
      <c r="S68" s="1" t="s">
        <v>654</v>
      </c>
      <c r="T68" s="1" t="s">
        <v>55</v>
      </c>
      <c r="U68" s="35" t="s">
        <v>55</v>
      </c>
      <c r="V68" s="4" t="s">
        <v>442</v>
      </c>
      <c r="W68" s="35" t="s">
        <v>59</v>
      </c>
      <c r="X68" s="1" t="s">
        <v>655</v>
      </c>
      <c r="Y68" s="35" t="s">
        <v>63</v>
      </c>
      <c r="Z68" s="1" t="s">
        <v>656</v>
      </c>
      <c r="AA68" s="35" t="s">
        <v>657</v>
      </c>
      <c r="AB68" s="25" t="s">
        <v>657</v>
      </c>
      <c r="AC68" s="1" t="s">
        <v>65</v>
      </c>
      <c r="AD68" s="1" t="s">
        <v>658</v>
      </c>
      <c r="AE68" s="1" t="s">
        <v>659</v>
      </c>
      <c r="AF68" s="35" t="s">
        <v>63</v>
      </c>
      <c r="AG68" s="35" t="s">
        <v>59</v>
      </c>
      <c r="AH68" s="35" t="s">
        <v>59</v>
      </c>
      <c r="AI68" s="25" t="s">
        <v>59</v>
      </c>
      <c r="AJ68" s="49" t="s">
        <v>59</v>
      </c>
      <c r="AK68" s="35"/>
      <c r="AL68" s="35" t="s">
        <v>59</v>
      </c>
      <c r="AM68" s="35" t="s">
        <v>63</v>
      </c>
      <c r="AN68" s="35"/>
      <c r="AO68" s="35"/>
      <c r="AP68" s="35" t="s">
        <v>59</v>
      </c>
      <c r="AQ68" s="25" t="s">
        <v>69</v>
      </c>
      <c r="AR68" s="1"/>
      <c r="AS68" t="str">
        <f t="shared" ref="AS68:AS131" si="1">IF(AND(AP68="N", ISBLANK(AQ68)), "THIS", "")</f>
        <v/>
      </c>
    </row>
    <row r="69" spans="1:45" ht="64" x14ac:dyDescent="0.2">
      <c r="A69" s="97"/>
      <c r="B69" s="1">
        <v>121</v>
      </c>
      <c r="C69" s="1" t="s">
        <v>660</v>
      </c>
      <c r="D69" s="2" t="s">
        <v>661</v>
      </c>
      <c r="E69" s="1" t="s">
        <v>662</v>
      </c>
      <c r="F69" s="1" t="s">
        <v>663</v>
      </c>
      <c r="G69" s="3">
        <v>2020</v>
      </c>
      <c r="H69" s="1" t="s">
        <v>236</v>
      </c>
      <c r="I69" s="35" t="s">
        <v>63</v>
      </c>
      <c r="J69" s="1"/>
      <c r="K69" s="35">
        <v>20</v>
      </c>
      <c r="L69" s="35" t="s">
        <v>55</v>
      </c>
      <c r="M69" s="1" t="s">
        <v>55</v>
      </c>
      <c r="N69" s="35">
        <v>51</v>
      </c>
      <c r="O69" s="1" t="s">
        <v>55</v>
      </c>
      <c r="P69" s="1" t="s">
        <v>58</v>
      </c>
      <c r="Q69" s="35" t="s">
        <v>63</v>
      </c>
      <c r="R69" s="35">
        <v>8</v>
      </c>
      <c r="S69" s="1" t="s">
        <v>664</v>
      </c>
      <c r="T69" s="1" t="s">
        <v>55</v>
      </c>
      <c r="U69" s="35" t="s">
        <v>55</v>
      </c>
      <c r="V69" s="4" t="s">
        <v>665</v>
      </c>
      <c r="W69" s="35" t="s">
        <v>63</v>
      </c>
      <c r="X69" s="1" t="s">
        <v>666</v>
      </c>
      <c r="Y69" s="35" t="s">
        <v>59</v>
      </c>
      <c r="Z69" s="1" t="s">
        <v>59</v>
      </c>
      <c r="AA69" s="35" t="s">
        <v>667</v>
      </c>
      <c r="AB69" s="25">
        <v>50</v>
      </c>
      <c r="AC69" s="1" t="s">
        <v>55</v>
      </c>
      <c r="AD69" s="40" t="s">
        <v>66</v>
      </c>
      <c r="AE69" s="1" t="s">
        <v>668</v>
      </c>
      <c r="AF69" s="35" t="s">
        <v>63</v>
      </c>
      <c r="AG69" s="35" t="s">
        <v>59</v>
      </c>
      <c r="AH69" s="35" t="s">
        <v>63</v>
      </c>
      <c r="AI69" s="25" t="s">
        <v>59</v>
      </c>
      <c r="AJ69" s="49" t="s">
        <v>59</v>
      </c>
      <c r="AK69" s="35"/>
      <c r="AL69" s="35" t="s">
        <v>59</v>
      </c>
      <c r="AM69" s="35" t="s">
        <v>63</v>
      </c>
      <c r="AN69" s="35"/>
      <c r="AO69" s="35"/>
      <c r="AP69" s="35" t="s">
        <v>59</v>
      </c>
      <c r="AQ69" s="25" t="s">
        <v>81</v>
      </c>
      <c r="AR69" s="1"/>
      <c r="AS69" t="str">
        <f t="shared" si="1"/>
        <v/>
      </c>
    </row>
    <row r="70" spans="1:45" ht="80" x14ac:dyDescent="0.2">
      <c r="A70" s="97"/>
      <c r="B70" s="36">
        <v>140</v>
      </c>
      <c r="C70" s="36" t="s">
        <v>669</v>
      </c>
      <c r="D70" s="36" t="s">
        <v>670</v>
      </c>
      <c r="E70" s="36" t="s">
        <v>671</v>
      </c>
      <c r="F70" s="36" t="s">
        <v>245</v>
      </c>
      <c r="G70" s="58">
        <v>2024</v>
      </c>
      <c r="H70" s="36" t="s">
        <v>672</v>
      </c>
      <c r="I70" s="37" t="s">
        <v>63</v>
      </c>
      <c r="J70" s="36"/>
      <c r="K70" s="37" t="s">
        <v>673</v>
      </c>
      <c r="L70" s="37" t="s">
        <v>55</v>
      </c>
      <c r="M70" s="36" t="s">
        <v>55</v>
      </c>
      <c r="N70" s="37">
        <v>3</v>
      </c>
      <c r="O70" s="36" t="s">
        <v>55</v>
      </c>
      <c r="P70" s="40" t="s">
        <v>674</v>
      </c>
      <c r="Q70" s="37" t="s">
        <v>59</v>
      </c>
      <c r="R70" s="37">
        <v>8</v>
      </c>
      <c r="S70" s="36" t="s">
        <v>675</v>
      </c>
      <c r="T70" s="36" t="s">
        <v>55</v>
      </c>
      <c r="U70" s="37" t="s">
        <v>55</v>
      </c>
      <c r="V70" s="57" t="s">
        <v>676</v>
      </c>
      <c r="W70" s="37" t="s">
        <v>63</v>
      </c>
      <c r="X70" s="36" t="s">
        <v>55</v>
      </c>
      <c r="Y70" s="37" t="s">
        <v>59</v>
      </c>
      <c r="Z70" s="36"/>
      <c r="AA70" s="37">
        <v>60</v>
      </c>
      <c r="AB70" s="38" t="s">
        <v>677</v>
      </c>
      <c r="AC70" s="36" t="s">
        <v>678</v>
      </c>
      <c r="AD70" s="36" t="s">
        <v>107</v>
      </c>
      <c r="AE70" s="36" t="s">
        <v>679</v>
      </c>
      <c r="AF70" s="39" t="s">
        <v>194</v>
      </c>
      <c r="AG70" s="37" t="s">
        <v>63</v>
      </c>
      <c r="AH70" s="37" t="s">
        <v>59</v>
      </c>
      <c r="AI70" s="38" t="s">
        <v>59</v>
      </c>
      <c r="AJ70" s="50" t="s">
        <v>59</v>
      </c>
      <c r="AK70" s="37"/>
      <c r="AL70" s="37" t="s">
        <v>59</v>
      </c>
      <c r="AM70" s="37" t="s">
        <v>59</v>
      </c>
      <c r="AN70" s="37" t="s">
        <v>93</v>
      </c>
      <c r="AO70" s="37"/>
      <c r="AP70" s="37" t="s">
        <v>59</v>
      </c>
      <c r="AQ70" s="38" t="s">
        <v>81</v>
      </c>
      <c r="AR70" s="23"/>
      <c r="AS70" t="str">
        <f t="shared" si="1"/>
        <v/>
      </c>
    </row>
    <row r="71" spans="1:45" ht="48" x14ac:dyDescent="0.2">
      <c r="A71" s="97"/>
      <c r="B71" s="1">
        <v>114</v>
      </c>
      <c r="C71" s="1" t="s">
        <v>680</v>
      </c>
      <c r="D71" s="1" t="s">
        <v>681</v>
      </c>
      <c r="E71" s="1" t="s">
        <v>682</v>
      </c>
      <c r="F71" s="1" t="s">
        <v>53</v>
      </c>
      <c r="G71" s="3">
        <v>2011</v>
      </c>
      <c r="H71" s="1" t="s">
        <v>54</v>
      </c>
      <c r="I71" s="35" t="s">
        <v>55</v>
      </c>
      <c r="J71" s="1"/>
      <c r="K71" s="35">
        <v>100</v>
      </c>
      <c r="L71" s="35" t="s">
        <v>55</v>
      </c>
      <c r="M71" s="1" t="s">
        <v>683</v>
      </c>
      <c r="N71" s="35">
        <v>7</v>
      </c>
      <c r="O71" s="1" t="s">
        <v>268</v>
      </c>
      <c r="P71" s="40" t="s">
        <v>58</v>
      </c>
      <c r="Q71" s="35" t="s">
        <v>63</v>
      </c>
      <c r="R71" s="35">
        <v>5</v>
      </c>
      <c r="S71" s="1" t="s">
        <v>684</v>
      </c>
      <c r="T71" s="1" t="s">
        <v>55</v>
      </c>
      <c r="U71" s="35" t="s">
        <v>614</v>
      </c>
      <c r="V71" s="4" t="s">
        <v>685</v>
      </c>
      <c r="W71" s="35" t="s">
        <v>63</v>
      </c>
      <c r="X71" s="1" t="s">
        <v>55</v>
      </c>
      <c r="Y71" s="35" t="s">
        <v>63</v>
      </c>
      <c r="Z71" s="1" t="s">
        <v>150</v>
      </c>
      <c r="AA71" s="35">
        <v>2</v>
      </c>
      <c r="AB71" s="25">
        <v>25</v>
      </c>
      <c r="AC71" s="1" t="s">
        <v>55</v>
      </c>
      <c r="AD71" s="1" t="s">
        <v>66</v>
      </c>
      <c r="AE71" s="1" t="s">
        <v>686</v>
      </c>
      <c r="AF71" s="35" t="s">
        <v>59</v>
      </c>
      <c r="AG71" s="35" t="s">
        <v>59</v>
      </c>
      <c r="AH71" s="35" t="s">
        <v>63</v>
      </c>
      <c r="AI71" s="25" t="s">
        <v>59</v>
      </c>
      <c r="AJ71" s="49" t="s">
        <v>59</v>
      </c>
      <c r="AK71" s="35"/>
      <c r="AL71" s="35" t="s">
        <v>59</v>
      </c>
      <c r="AM71" s="35" t="s">
        <v>63</v>
      </c>
      <c r="AN71" s="35"/>
      <c r="AO71" s="35"/>
      <c r="AP71" s="35" t="s">
        <v>59</v>
      </c>
      <c r="AQ71" s="25" t="s">
        <v>69</v>
      </c>
      <c r="AR71" s="1"/>
      <c r="AS71" t="str">
        <f t="shared" si="1"/>
        <v/>
      </c>
    </row>
    <row r="72" spans="1:45" ht="64" x14ac:dyDescent="0.2">
      <c r="A72" s="97"/>
      <c r="B72" s="1">
        <v>93</v>
      </c>
      <c r="C72" s="1" t="s">
        <v>687</v>
      </c>
      <c r="D72" s="1" t="s">
        <v>688</v>
      </c>
      <c r="E72" s="1" t="s">
        <v>689</v>
      </c>
      <c r="F72" s="1" t="s">
        <v>690</v>
      </c>
      <c r="G72" s="3">
        <v>2015</v>
      </c>
      <c r="H72" s="1" t="s">
        <v>54</v>
      </c>
      <c r="I72" s="35" t="s">
        <v>63</v>
      </c>
      <c r="J72" s="2" t="s">
        <v>691</v>
      </c>
      <c r="K72" s="35" t="s">
        <v>692</v>
      </c>
      <c r="L72" s="35" t="s">
        <v>55</v>
      </c>
      <c r="M72" s="1" t="s">
        <v>693</v>
      </c>
      <c r="N72" s="35">
        <v>9</v>
      </c>
      <c r="O72" s="1" t="s">
        <v>101</v>
      </c>
      <c r="P72" s="1" t="s">
        <v>55</v>
      </c>
      <c r="Q72" s="35" t="s">
        <v>55</v>
      </c>
      <c r="R72" s="35">
        <v>6</v>
      </c>
      <c r="S72" s="1" t="s">
        <v>694</v>
      </c>
      <c r="T72" s="1" t="s">
        <v>55</v>
      </c>
      <c r="U72" s="35" t="s">
        <v>134</v>
      </c>
      <c r="V72" s="4" t="s">
        <v>695</v>
      </c>
      <c r="W72" s="35" t="s">
        <v>63</v>
      </c>
      <c r="X72" s="1" t="s">
        <v>55</v>
      </c>
      <c r="Y72" s="35" t="s">
        <v>63</v>
      </c>
      <c r="Z72" s="1" t="s">
        <v>696</v>
      </c>
      <c r="AA72" s="35">
        <v>2</v>
      </c>
      <c r="AB72" s="25">
        <v>50</v>
      </c>
      <c r="AC72" s="1" t="s">
        <v>697</v>
      </c>
      <c r="AD72" s="1" t="s">
        <v>698</v>
      </c>
      <c r="AE72" s="1" t="s">
        <v>699</v>
      </c>
      <c r="AF72" s="35" t="s">
        <v>59</v>
      </c>
      <c r="AG72" s="35" t="s">
        <v>63</v>
      </c>
      <c r="AH72" s="35" t="s">
        <v>59</v>
      </c>
      <c r="AI72" s="25" t="s">
        <v>59</v>
      </c>
      <c r="AJ72" s="49" t="s">
        <v>59</v>
      </c>
      <c r="AK72" s="35"/>
      <c r="AL72" s="35" t="s">
        <v>59</v>
      </c>
      <c r="AM72" s="35" t="s">
        <v>59</v>
      </c>
      <c r="AN72" s="35" t="s">
        <v>68</v>
      </c>
      <c r="AO72" s="35"/>
      <c r="AP72" s="35" t="s">
        <v>59</v>
      </c>
      <c r="AQ72" s="25" t="s">
        <v>81</v>
      </c>
      <c r="AR72" s="1" t="s">
        <v>314</v>
      </c>
      <c r="AS72" t="str">
        <f t="shared" si="1"/>
        <v/>
      </c>
    </row>
    <row r="73" spans="1:45" ht="64" x14ac:dyDescent="0.2">
      <c r="A73" s="97"/>
      <c r="B73" s="1">
        <v>136</v>
      </c>
      <c r="C73" s="1" t="s">
        <v>700</v>
      </c>
      <c r="D73" s="1" t="s">
        <v>701</v>
      </c>
      <c r="E73" s="1" t="s">
        <v>702</v>
      </c>
      <c r="F73" s="1" t="s">
        <v>53</v>
      </c>
      <c r="G73" s="3">
        <v>2015</v>
      </c>
      <c r="H73" s="1" t="s">
        <v>54</v>
      </c>
      <c r="I73" s="35" t="s">
        <v>55</v>
      </c>
      <c r="J73" s="1"/>
      <c r="K73" s="35" t="s">
        <v>55</v>
      </c>
      <c r="L73" s="35" t="s">
        <v>55</v>
      </c>
      <c r="M73" s="1" t="s">
        <v>703</v>
      </c>
      <c r="N73" s="35">
        <v>99</v>
      </c>
      <c r="O73" s="1" t="s">
        <v>150</v>
      </c>
      <c r="P73" s="40" t="s">
        <v>58</v>
      </c>
      <c r="Q73" s="35" t="s">
        <v>63</v>
      </c>
      <c r="R73" s="35" t="s">
        <v>704</v>
      </c>
      <c r="S73" s="1" t="s">
        <v>705</v>
      </c>
      <c r="T73" s="1" t="s">
        <v>55</v>
      </c>
      <c r="U73" s="35" t="s">
        <v>147</v>
      </c>
      <c r="V73" s="4" t="s">
        <v>706</v>
      </c>
      <c r="W73" s="35" t="s">
        <v>55</v>
      </c>
      <c r="X73" s="1" t="s">
        <v>55</v>
      </c>
      <c r="Y73" s="35" t="s">
        <v>63</v>
      </c>
      <c r="Z73" s="1" t="s">
        <v>707</v>
      </c>
      <c r="AA73" s="39" t="s">
        <v>55</v>
      </c>
      <c r="AB73" s="26" t="s">
        <v>55</v>
      </c>
      <c r="AC73" s="40" t="s">
        <v>120</v>
      </c>
      <c r="AD73" s="40" t="s">
        <v>66</v>
      </c>
      <c r="AE73" s="1" t="s">
        <v>708</v>
      </c>
      <c r="AF73" s="35" t="s">
        <v>63</v>
      </c>
      <c r="AG73" s="35" t="s">
        <v>63</v>
      </c>
      <c r="AH73" s="35" t="s">
        <v>59</v>
      </c>
      <c r="AI73" s="25" t="s">
        <v>59</v>
      </c>
      <c r="AJ73" s="49" t="s">
        <v>59</v>
      </c>
      <c r="AK73" s="35"/>
      <c r="AL73" s="35" t="s">
        <v>59</v>
      </c>
      <c r="AM73" s="35" t="s">
        <v>59</v>
      </c>
      <c r="AN73" s="35" t="s">
        <v>93</v>
      </c>
      <c r="AO73" s="35"/>
      <c r="AP73" s="35" t="s">
        <v>59</v>
      </c>
      <c r="AQ73" s="25" t="s">
        <v>69</v>
      </c>
      <c r="AR73" s="1"/>
      <c r="AS73" t="str">
        <f t="shared" si="1"/>
        <v/>
      </c>
    </row>
    <row r="74" spans="1:45" ht="64" x14ac:dyDescent="0.2">
      <c r="A74" s="97"/>
      <c r="B74" s="1">
        <v>74</v>
      </c>
      <c r="C74" s="1" t="s">
        <v>709</v>
      </c>
      <c r="D74" s="1" t="s">
        <v>710</v>
      </c>
      <c r="E74" s="2" t="s">
        <v>711</v>
      </c>
      <c r="F74" s="1" t="s">
        <v>472</v>
      </c>
      <c r="G74" s="3">
        <v>2022</v>
      </c>
      <c r="H74" s="1" t="s">
        <v>712</v>
      </c>
      <c r="I74" s="35" t="s">
        <v>55</v>
      </c>
      <c r="J74" s="1"/>
      <c r="K74" s="35">
        <v>20</v>
      </c>
      <c r="L74" s="35" t="s">
        <v>55</v>
      </c>
      <c r="M74" s="1" t="s">
        <v>713</v>
      </c>
      <c r="N74" s="35">
        <v>12</v>
      </c>
      <c r="O74" s="1" t="s">
        <v>714</v>
      </c>
      <c r="P74" s="1" t="s">
        <v>55</v>
      </c>
      <c r="Q74" s="35" t="s">
        <v>59</v>
      </c>
      <c r="R74" s="35">
        <v>8</v>
      </c>
      <c r="S74" s="1" t="s">
        <v>715</v>
      </c>
      <c r="T74" s="1" t="s">
        <v>55</v>
      </c>
      <c r="U74" s="35" t="s">
        <v>222</v>
      </c>
      <c r="V74" s="4" t="s">
        <v>716</v>
      </c>
      <c r="W74" s="35" t="s">
        <v>63</v>
      </c>
      <c r="X74" s="1" t="s">
        <v>717</v>
      </c>
      <c r="Y74" s="35" t="s">
        <v>59</v>
      </c>
      <c r="Z74" s="1"/>
      <c r="AA74" s="35">
        <v>4</v>
      </c>
      <c r="AB74" s="25">
        <v>50</v>
      </c>
      <c r="AC74" s="1" t="s">
        <v>273</v>
      </c>
      <c r="AD74" s="1" t="s">
        <v>192</v>
      </c>
      <c r="AE74" s="1" t="s">
        <v>718</v>
      </c>
      <c r="AF74" s="35" t="s">
        <v>63</v>
      </c>
      <c r="AG74" s="35" t="s">
        <v>59</v>
      </c>
      <c r="AH74" s="35" t="s">
        <v>63</v>
      </c>
      <c r="AI74" s="25" t="s">
        <v>59</v>
      </c>
      <c r="AJ74" s="49" t="s">
        <v>59</v>
      </c>
      <c r="AK74" s="39"/>
      <c r="AL74" s="35" t="s">
        <v>59</v>
      </c>
      <c r="AM74" s="35" t="s">
        <v>59</v>
      </c>
      <c r="AN74" s="35" t="s">
        <v>68</v>
      </c>
      <c r="AO74" s="35"/>
      <c r="AP74" s="35" t="s">
        <v>59</v>
      </c>
      <c r="AQ74" s="25" t="s">
        <v>69</v>
      </c>
      <c r="AR74" s="1"/>
      <c r="AS74" t="str">
        <f t="shared" si="1"/>
        <v/>
      </c>
    </row>
    <row r="75" spans="1:45" ht="80" x14ac:dyDescent="0.2">
      <c r="A75" s="97"/>
      <c r="B75" s="1">
        <v>49</v>
      </c>
      <c r="C75" s="1" t="s">
        <v>719</v>
      </c>
      <c r="D75" s="1" t="s">
        <v>720</v>
      </c>
      <c r="E75" s="2" t="s">
        <v>721</v>
      </c>
      <c r="F75" s="1" t="s">
        <v>472</v>
      </c>
      <c r="G75" s="3">
        <v>2016</v>
      </c>
      <c r="H75" s="1" t="s">
        <v>722</v>
      </c>
      <c r="I75" s="35" t="s">
        <v>63</v>
      </c>
      <c r="J75" s="1"/>
      <c r="K75" s="35">
        <v>50</v>
      </c>
      <c r="L75" s="35" t="s">
        <v>55</v>
      </c>
      <c r="M75" s="1" t="s">
        <v>723</v>
      </c>
      <c r="N75" s="35">
        <v>15</v>
      </c>
      <c r="O75" s="1" t="s">
        <v>724</v>
      </c>
      <c r="P75" s="40" t="s">
        <v>58</v>
      </c>
      <c r="Q75" s="35" t="s">
        <v>59</v>
      </c>
      <c r="R75" s="35">
        <v>8</v>
      </c>
      <c r="S75" s="1" t="s">
        <v>725</v>
      </c>
      <c r="T75" s="1" t="s">
        <v>55</v>
      </c>
      <c r="U75" s="35" t="s">
        <v>614</v>
      </c>
      <c r="V75" s="4" t="s">
        <v>543</v>
      </c>
      <c r="W75" s="35" t="s">
        <v>59</v>
      </c>
      <c r="X75" s="1" t="s">
        <v>55</v>
      </c>
      <c r="Y75" s="35" t="s">
        <v>63</v>
      </c>
      <c r="Z75" s="1" t="s">
        <v>150</v>
      </c>
      <c r="AA75" s="35">
        <v>1</v>
      </c>
      <c r="AB75" s="25">
        <v>50</v>
      </c>
      <c r="AC75" s="1" t="s">
        <v>65</v>
      </c>
      <c r="AD75" s="1" t="s">
        <v>726</v>
      </c>
      <c r="AE75" s="1" t="s">
        <v>727</v>
      </c>
      <c r="AF75" s="35" t="s">
        <v>63</v>
      </c>
      <c r="AG75" s="35" t="s">
        <v>63</v>
      </c>
      <c r="AH75" s="35" t="s">
        <v>59</v>
      </c>
      <c r="AI75" s="25" t="s">
        <v>59</v>
      </c>
      <c r="AJ75" s="51" t="s">
        <v>386</v>
      </c>
      <c r="AK75" s="34" t="s">
        <v>728</v>
      </c>
      <c r="AL75" s="35" t="s">
        <v>59</v>
      </c>
      <c r="AM75" s="35" t="s">
        <v>59</v>
      </c>
      <c r="AN75" s="35" t="s">
        <v>68</v>
      </c>
      <c r="AO75" s="35"/>
      <c r="AP75" s="35" t="s">
        <v>59</v>
      </c>
      <c r="AQ75" s="25" t="s">
        <v>81</v>
      </c>
      <c r="AR75" s="1"/>
      <c r="AS75" t="str">
        <f t="shared" si="1"/>
        <v/>
      </c>
    </row>
    <row r="76" spans="1:45" ht="80" x14ac:dyDescent="0.2">
      <c r="A76" s="97"/>
      <c r="B76" s="40">
        <v>100</v>
      </c>
      <c r="C76" s="40" t="s">
        <v>729</v>
      </c>
      <c r="D76" s="40" t="s">
        <v>720</v>
      </c>
      <c r="E76" s="40" t="s">
        <v>730</v>
      </c>
      <c r="F76" s="40" t="s">
        <v>86</v>
      </c>
      <c r="G76" s="13">
        <v>2017</v>
      </c>
      <c r="H76" s="40" t="s">
        <v>124</v>
      </c>
      <c r="I76" s="39" t="s">
        <v>63</v>
      </c>
      <c r="J76" s="40"/>
      <c r="K76" s="39">
        <v>50</v>
      </c>
      <c r="L76" s="39" t="s">
        <v>55</v>
      </c>
      <c r="M76" s="40" t="s">
        <v>731</v>
      </c>
      <c r="N76" s="39">
        <v>15</v>
      </c>
      <c r="O76" s="40" t="s">
        <v>732</v>
      </c>
      <c r="P76" s="40" t="s">
        <v>55</v>
      </c>
      <c r="Q76" s="39" t="s">
        <v>59</v>
      </c>
      <c r="R76" s="39">
        <v>8</v>
      </c>
      <c r="S76" s="40" t="s">
        <v>733</v>
      </c>
      <c r="T76" s="40" t="s">
        <v>55</v>
      </c>
      <c r="U76" s="39" t="s">
        <v>55</v>
      </c>
      <c r="V76" s="14" t="s">
        <v>543</v>
      </c>
      <c r="W76" s="39" t="s">
        <v>59</v>
      </c>
      <c r="X76" s="40" t="s">
        <v>55</v>
      </c>
      <c r="Y76" s="39" t="s">
        <v>63</v>
      </c>
      <c r="Z76" s="40" t="s">
        <v>150</v>
      </c>
      <c r="AA76" s="39">
        <v>1</v>
      </c>
      <c r="AB76" s="26">
        <v>50</v>
      </c>
      <c r="AC76" s="40" t="s">
        <v>734</v>
      </c>
      <c r="AD76" s="40" t="s">
        <v>174</v>
      </c>
      <c r="AE76" s="40" t="s">
        <v>735</v>
      </c>
      <c r="AF76" s="39" t="s">
        <v>63</v>
      </c>
      <c r="AG76" s="39" t="s">
        <v>63</v>
      </c>
      <c r="AH76" s="39" t="s">
        <v>59</v>
      </c>
      <c r="AI76" s="26" t="s">
        <v>59</v>
      </c>
      <c r="AJ76" s="51" t="s">
        <v>386</v>
      </c>
      <c r="AK76" s="34" t="s">
        <v>728</v>
      </c>
      <c r="AL76" s="39" t="s">
        <v>59</v>
      </c>
      <c r="AM76" s="39" t="s">
        <v>59</v>
      </c>
      <c r="AN76" s="39" t="s">
        <v>68</v>
      </c>
      <c r="AO76" s="39"/>
      <c r="AP76" s="39" t="s">
        <v>59</v>
      </c>
      <c r="AQ76" s="26" t="s">
        <v>81</v>
      </c>
      <c r="AR76" s="1" t="s">
        <v>314</v>
      </c>
      <c r="AS76" t="str">
        <f t="shared" si="1"/>
        <v/>
      </c>
    </row>
    <row r="77" spans="1:45" ht="102" x14ac:dyDescent="0.2">
      <c r="A77" s="97"/>
      <c r="B77" s="36">
        <v>141</v>
      </c>
      <c r="C77" s="36" t="s">
        <v>736</v>
      </c>
      <c r="D77" s="36" t="s">
        <v>737</v>
      </c>
      <c r="E77" s="36" t="s">
        <v>738</v>
      </c>
      <c r="F77" s="36" t="s">
        <v>417</v>
      </c>
      <c r="G77" s="58">
        <v>2024</v>
      </c>
      <c r="H77" s="36" t="s">
        <v>209</v>
      </c>
      <c r="I77" s="37" t="s">
        <v>63</v>
      </c>
      <c r="J77" s="36"/>
      <c r="K77" s="37">
        <v>32</v>
      </c>
      <c r="L77" s="37" t="s">
        <v>55</v>
      </c>
      <c r="M77" s="36" t="s">
        <v>55</v>
      </c>
      <c r="N77" s="37" t="s">
        <v>55</v>
      </c>
      <c r="O77" s="36" t="s">
        <v>55</v>
      </c>
      <c r="P77" s="40" t="s">
        <v>58</v>
      </c>
      <c r="Q77" s="37" t="s">
        <v>739</v>
      </c>
      <c r="R77" s="37" t="s">
        <v>740</v>
      </c>
      <c r="S77" s="36" t="s">
        <v>741</v>
      </c>
      <c r="T77" s="36" t="s">
        <v>55</v>
      </c>
      <c r="U77" s="37" t="s">
        <v>222</v>
      </c>
      <c r="V77" s="57" t="s">
        <v>742</v>
      </c>
      <c r="W77" s="37" t="s">
        <v>59</v>
      </c>
      <c r="X77" s="36" t="s">
        <v>743</v>
      </c>
      <c r="Y77" s="37" t="s">
        <v>63</v>
      </c>
      <c r="Z77" s="36" t="s">
        <v>744</v>
      </c>
      <c r="AA77" s="37">
        <v>180</v>
      </c>
      <c r="AB77" s="38">
        <v>0</v>
      </c>
      <c r="AC77" s="36" t="s">
        <v>745</v>
      </c>
      <c r="AD77" s="36" t="s">
        <v>746</v>
      </c>
      <c r="AE77" s="36" t="s">
        <v>747</v>
      </c>
      <c r="AF77" s="37" t="s">
        <v>600</v>
      </c>
      <c r="AG77" s="37" t="s">
        <v>59</v>
      </c>
      <c r="AH77" s="37" t="s">
        <v>59</v>
      </c>
      <c r="AI77" s="38" t="s">
        <v>59</v>
      </c>
      <c r="AJ77" s="50" t="s">
        <v>59</v>
      </c>
      <c r="AK77" s="37"/>
      <c r="AL77" s="37" t="s">
        <v>59</v>
      </c>
      <c r="AM77" s="37" t="s">
        <v>59</v>
      </c>
      <c r="AN77" s="37" t="s">
        <v>68</v>
      </c>
      <c r="AO77" s="37"/>
      <c r="AP77" s="37" t="s">
        <v>59</v>
      </c>
      <c r="AQ77" s="38" t="s">
        <v>94</v>
      </c>
      <c r="AR77" s="23"/>
      <c r="AS77" t="str">
        <f t="shared" si="1"/>
        <v/>
      </c>
    </row>
    <row r="78" spans="1:45" ht="32" x14ac:dyDescent="0.2">
      <c r="A78" s="97"/>
      <c r="B78" s="1">
        <v>18</v>
      </c>
      <c r="C78" s="1" t="s">
        <v>748</v>
      </c>
      <c r="D78" s="1" t="s">
        <v>749</v>
      </c>
      <c r="E78" s="2" t="s">
        <v>750</v>
      </c>
      <c r="F78" s="1" t="s">
        <v>86</v>
      </c>
      <c r="G78" s="3">
        <v>2017</v>
      </c>
      <c r="H78" s="1" t="s">
        <v>54</v>
      </c>
      <c r="I78" s="35" t="s">
        <v>55</v>
      </c>
      <c r="J78" s="1"/>
      <c r="K78" s="35">
        <v>50</v>
      </c>
      <c r="L78" s="35" t="s">
        <v>55</v>
      </c>
      <c r="M78" s="1" t="s">
        <v>751</v>
      </c>
      <c r="N78" s="35">
        <v>10</v>
      </c>
      <c r="O78" s="1" t="s">
        <v>55</v>
      </c>
      <c r="P78" s="1" t="s">
        <v>55</v>
      </c>
      <c r="Q78" s="35" t="s">
        <v>55</v>
      </c>
      <c r="R78" s="35">
        <v>5</v>
      </c>
      <c r="S78" s="1" t="s">
        <v>752</v>
      </c>
      <c r="T78" s="1" t="s">
        <v>55</v>
      </c>
      <c r="U78" s="35" t="s">
        <v>55</v>
      </c>
      <c r="V78" s="4" t="s">
        <v>753</v>
      </c>
      <c r="W78" s="35" t="s">
        <v>59</v>
      </c>
      <c r="X78" s="1" t="s">
        <v>754</v>
      </c>
      <c r="Y78" s="35" t="s">
        <v>63</v>
      </c>
      <c r="Z78" s="1" t="s">
        <v>755</v>
      </c>
      <c r="AA78" s="35">
        <v>4</v>
      </c>
      <c r="AB78" s="25">
        <v>50</v>
      </c>
      <c r="AC78" s="1" t="s">
        <v>55</v>
      </c>
      <c r="AD78" s="1" t="s">
        <v>66</v>
      </c>
      <c r="AE78" s="1" t="s">
        <v>756</v>
      </c>
      <c r="AF78" s="35" t="s">
        <v>63</v>
      </c>
      <c r="AG78" s="35" t="s">
        <v>59</v>
      </c>
      <c r="AH78" s="35" t="s">
        <v>59</v>
      </c>
      <c r="AI78" s="25" t="s">
        <v>59</v>
      </c>
      <c r="AJ78" s="49" t="s">
        <v>59</v>
      </c>
      <c r="AK78" s="35"/>
      <c r="AL78" s="35" t="s">
        <v>59</v>
      </c>
      <c r="AM78" s="35" t="s">
        <v>59</v>
      </c>
      <c r="AN78" s="35" t="s">
        <v>68</v>
      </c>
      <c r="AO78" s="35"/>
      <c r="AP78" s="35" t="s">
        <v>59</v>
      </c>
      <c r="AQ78" s="25" t="s">
        <v>69</v>
      </c>
      <c r="AR78" s="1"/>
      <c r="AS78" t="str">
        <f t="shared" si="1"/>
        <v/>
      </c>
    </row>
    <row r="79" spans="1:45" ht="80" x14ac:dyDescent="0.2">
      <c r="A79" s="97"/>
      <c r="B79" s="1">
        <v>48</v>
      </c>
      <c r="C79" s="1" t="s">
        <v>757</v>
      </c>
      <c r="D79" s="1" t="s">
        <v>758</v>
      </c>
      <c r="E79" s="2" t="s">
        <v>759</v>
      </c>
      <c r="F79" s="1" t="s">
        <v>459</v>
      </c>
      <c r="G79" s="3">
        <v>2019</v>
      </c>
      <c r="H79" s="1" t="s">
        <v>54</v>
      </c>
      <c r="I79" s="35" t="s">
        <v>55</v>
      </c>
      <c r="J79" s="1"/>
      <c r="K79" s="35">
        <v>150</v>
      </c>
      <c r="L79" s="35">
        <v>6</v>
      </c>
      <c r="M79" s="1" t="s">
        <v>760</v>
      </c>
      <c r="N79" s="35">
        <v>5</v>
      </c>
      <c r="O79" s="1" t="s">
        <v>761</v>
      </c>
      <c r="P79" s="40" t="s">
        <v>58</v>
      </c>
      <c r="Q79" s="35" t="s">
        <v>55</v>
      </c>
      <c r="R79" s="35">
        <v>6</v>
      </c>
      <c r="S79" s="1" t="s">
        <v>762</v>
      </c>
      <c r="T79" s="1" t="s">
        <v>55</v>
      </c>
      <c r="U79" s="35" t="s">
        <v>614</v>
      </c>
      <c r="V79" s="4" t="s">
        <v>763</v>
      </c>
      <c r="W79" s="35" t="s">
        <v>63</v>
      </c>
      <c r="X79" s="1" t="s">
        <v>104</v>
      </c>
      <c r="Y79" s="35" t="s">
        <v>63</v>
      </c>
      <c r="Z79" s="1" t="s">
        <v>764</v>
      </c>
      <c r="AA79" s="35">
        <v>2</v>
      </c>
      <c r="AB79" s="25">
        <v>50</v>
      </c>
      <c r="AC79" s="1" t="s">
        <v>120</v>
      </c>
      <c r="AD79" s="1" t="s">
        <v>107</v>
      </c>
      <c r="AE79" s="1" t="s">
        <v>765</v>
      </c>
      <c r="AF79" s="35" t="s">
        <v>63</v>
      </c>
      <c r="AG79" s="35" t="s">
        <v>59</v>
      </c>
      <c r="AH79" s="35" t="s">
        <v>59</v>
      </c>
      <c r="AI79" s="25" t="s">
        <v>59</v>
      </c>
      <c r="AJ79" s="49" t="s">
        <v>59</v>
      </c>
      <c r="AK79" s="35"/>
      <c r="AL79" s="35" t="s">
        <v>59</v>
      </c>
      <c r="AM79" s="35" t="s">
        <v>63</v>
      </c>
      <c r="AN79" s="35"/>
      <c r="AO79" s="35"/>
      <c r="AP79" s="35" t="s">
        <v>59</v>
      </c>
      <c r="AQ79" s="25" t="s">
        <v>69</v>
      </c>
      <c r="AR79" s="1"/>
      <c r="AS79" t="str">
        <f t="shared" si="1"/>
        <v/>
      </c>
    </row>
    <row r="80" spans="1:45" ht="64" x14ac:dyDescent="0.2">
      <c r="A80" s="97"/>
      <c r="B80" s="1">
        <v>72</v>
      </c>
      <c r="C80" s="1" t="s">
        <v>766</v>
      </c>
      <c r="D80" s="1" t="s">
        <v>758</v>
      </c>
      <c r="E80" s="2" t="s">
        <v>767</v>
      </c>
      <c r="F80" s="1" t="s">
        <v>86</v>
      </c>
      <c r="G80" s="3">
        <v>2021</v>
      </c>
      <c r="H80" s="1" t="s">
        <v>54</v>
      </c>
      <c r="I80" s="35" t="s">
        <v>55</v>
      </c>
      <c r="J80" s="1"/>
      <c r="K80" s="35">
        <v>150</v>
      </c>
      <c r="L80" s="35">
        <v>6</v>
      </c>
      <c r="M80" s="1" t="s">
        <v>768</v>
      </c>
      <c r="N80" s="35">
        <v>10</v>
      </c>
      <c r="O80" s="1" t="s">
        <v>769</v>
      </c>
      <c r="P80" s="40" t="s">
        <v>58</v>
      </c>
      <c r="Q80" s="35" t="s">
        <v>55</v>
      </c>
      <c r="R80" s="35">
        <v>6</v>
      </c>
      <c r="S80" s="1" t="s">
        <v>770</v>
      </c>
      <c r="T80" s="1" t="s">
        <v>55</v>
      </c>
      <c r="U80" s="35" t="s">
        <v>614</v>
      </c>
      <c r="V80" s="4" t="s">
        <v>771</v>
      </c>
      <c r="W80" s="35" t="s">
        <v>63</v>
      </c>
      <c r="X80" s="1" t="s">
        <v>104</v>
      </c>
      <c r="Y80" s="35" t="s">
        <v>63</v>
      </c>
      <c r="Z80" s="1" t="s">
        <v>150</v>
      </c>
      <c r="AA80" s="35">
        <v>2</v>
      </c>
      <c r="AB80" s="25">
        <v>50</v>
      </c>
      <c r="AC80" s="1" t="s">
        <v>120</v>
      </c>
      <c r="AD80" s="1" t="s">
        <v>772</v>
      </c>
      <c r="AE80" s="1" t="s">
        <v>773</v>
      </c>
      <c r="AF80" s="35" t="s">
        <v>63</v>
      </c>
      <c r="AG80" s="35" t="s">
        <v>63</v>
      </c>
      <c r="AH80" s="35" t="s">
        <v>59</v>
      </c>
      <c r="AI80" s="25" t="s">
        <v>59</v>
      </c>
      <c r="AJ80" s="49" t="s">
        <v>59</v>
      </c>
      <c r="AK80" s="35"/>
      <c r="AL80" s="35" t="s">
        <v>59</v>
      </c>
      <c r="AM80" s="35" t="s">
        <v>63</v>
      </c>
      <c r="AN80" s="35"/>
      <c r="AO80" s="35"/>
      <c r="AP80" s="35" t="s">
        <v>59</v>
      </c>
      <c r="AQ80" s="25" t="s">
        <v>69</v>
      </c>
      <c r="AR80" s="1"/>
      <c r="AS80" t="str">
        <f t="shared" si="1"/>
        <v/>
      </c>
    </row>
    <row r="81" spans="1:45" ht="48" x14ac:dyDescent="0.2">
      <c r="A81" s="97"/>
      <c r="B81" s="1">
        <v>92</v>
      </c>
      <c r="C81" s="1" t="s">
        <v>774</v>
      </c>
      <c r="D81" s="1" t="s">
        <v>775</v>
      </c>
      <c r="E81" s="2" t="s">
        <v>776</v>
      </c>
      <c r="F81" s="1" t="s">
        <v>86</v>
      </c>
      <c r="G81" s="3">
        <v>2017</v>
      </c>
      <c r="H81" s="1" t="s">
        <v>54</v>
      </c>
      <c r="I81" s="35" t="s">
        <v>55</v>
      </c>
      <c r="J81" s="1"/>
      <c r="K81" s="35">
        <v>62</v>
      </c>
      <c r="L81" s="35" t="s">
        <v>55</v>
      </c>
      <c r="M81" s="1" t="s">
        <v>777</v>
      </c>
      <c r="N81" s="35">
        <v>2</v>
      </c>
      <c r="O81" s="1" t="s">
        <v>55</v>
      </c>
      <c r="P81" s="1" t="s">
        <v>186</v>
      </c>
      <c r="Q81" s="35" t="s">
        <v>63</v>
      </c>
      <c r="R81" s="35">
        <v>6</v>
      </c>
      <c r="S81" s="1" t="s">
        <v>778</v>
      </c>
      <c r="T81" s="1" t="s">
        <v>55</v>
      </c>
      <c r="U81" s="35" t="s">
        <v>55</v>
      </c>
      <c r="V81" s="4" t="s">
        <v>779</v>
      </c>
      <c r="W81" s="35" t="s">
        <v>63</v>
      </c>
      <c r="X81" s="1" t="s">
        <v>55</v>
      </c>
      <c r="Y81" s="35" t="s">
        <v>55</v>
      </c>
      <c r="Z81" s="1"/>
      <c r="AA81" s="35" t="s">
        <v>780</v>
      </c>
      <c r="AB81" s="25">
        <v>50</v>
      </c>
      <c r="AC81" s="1" t="s">
        <v>781</v>
      </c>
      <c r="AD81" s="1" t="s">
        <v>66</v>
      </c>
      <c r="AE81" s="1" t="s">
        <v>782</v>
      </c>
      <c r="AF81" s="35" t="s">
        <v>63</v>
      </c>
      <c r="AG81" s="35" t="s">
        <v>59</v>
      </c>
      <c r="AH81" s="35" t="s">
        <v>59</v>
      </c>
      <c r="AI81" s="25" t="s">
        <v>59</v>
      </c>
      <c r="AJ81" s="49" t="s">
        <v>59</v>
      </c>
      <c r="AK81" s="35"/>
      <c r="AL81" s="35" t="s">
        <v>59</v>
      </c>
      <c r="AM81" s="35" t="s">
        <v>63</v>
      </c>
      <c r="AN81" s="35"/>
      <c r="AO81" s="35"/>
      <c r="AP81" s="35" t="s">
        <v>59</v>
      </c>
      <c r="AQ81" s="25" t="s">
        <v>69</v>
      </c>
      <c r="AR81" s="1"/>
      <c r="AS81" t="str">
        <f t="shared" si="1"/>
        <v/>
      </c>
    </row>
    <row r="82" spans="1:45" s="72" customFormat="1" ht="93" customHeight="1" x14ac:dyDescent="0.2">
      <c r="A82" s="97"/>
      <c r="B82" s="1">
        <v>60</v>
      </c>
      <c r="C82" s="1" t="s">
        <v>783</v>
      </c>
      <c r="D82" s="1" t="s">
        <v>784</v>
      </c>
      <c r="E82" s="2" t="s">
        <v>785</v>
      </c>
      <c r="F82" s="1" t="s">
        <v>417</v>
      </c>
      <c r="G82" s="3">
        <v>2018</v>
      </c>
      <c r="H82" s="1" t="s">
        <v>109</v>
      </c>
      <c r="I82" s="35" t="s">
        <v>63</v>
      </c>
      <c r="J82" s="1"/>
      <c r="K82" s="35" t="s">
        <v>55</v>
      </c>
      <c r="L82" s="35" t="s">
        <v>55</v>
      </c>
      <c r="M82" s="1" t="s">
        <v>55</v>
      </c>
      <c r="N82" s="35">
        <v>9</v>
      </c>
      <c r="O82" s="1" t="s">
        <v>786</v>
      </c>
      <c r="P82" s="1" t="s">
        <v>58</v>
      </c>
      <c r="Q82" s="35" t="s">
        <v>55</v>
      </c>
      <c r="R82" s="35">
        <v>18</v>
      </c>
      <c r="S82" s="1" t="s">
        <v>787</v>
      </c>
      <c r="T82" s="1" t="s">
        <v>55</v>
      </c>
      <c r="U82" s="35" t="s">
        <v>112</v>
      </c>
      <c r="V82" s="4" t="s">
        <v>543</v>
      </c>
      <c r="W82" s="35" t="s">
        <v>59</v>
      </c>
      <c r="X82" s="1" t="s">
        <v>55</v>
      </c>
      <c r="Y82" s="35" t="s">
        <v>63</v>
      </c>
      <c r="Z82" s="1" t="s">
        <v>788</v>
      </c>
      <c r="AA82" s="35" t="s">
        <v>55</v>
      </c>
      <c r="AB82" s="25">
        <v>50</v>
      </c>
      <c r="AC82" s="1" t="s">
        <v>789</v>
      </c>
      <c r="AD82" s="1" t="s">
        <v>66</v>
      </c>
      <c r="AE82" s="1" t="s">
        <v>790</v>
      </c>
      <c r="AF82" s="35" t="s">
        <v>63</v>
      </c>
      <c r="AG82" s="35" t="s">
        <v>63</v>
      </c>
      <c r="AH82" s="35" t="s">
        <v>59</v>
      </c>
      <c r="AI82" s="25" t="s">
        <v>59</v>
      </c>
      <c r="AJ82" s="49" t="s">
        <v>59</v>
      </c>
      <c r="AK82" s="35"/>
      <c r="AL82" s="35" t="s">
        <v>59</v>
      </c>
      <c r="AM82" s="35" t="s">
        <v>59</v>
      </c>
      <c r="AN82" s="35" t="s">
        <v>82</v>
      </c>
      <c r="AO82" s="35"/>
      <c r="AP82" s="35" t="s">
        <v>59</v>
      </c>
      <c r="AQ82" s="25" t="s">
        <v>81</v>
      </c>
      <c r="AR82" s="1"/>
      <c r="AS82" t="str">
        <f t="shared" si="1"/>
        <v/>
      </c>
    </row>
    <row r="83" spans="1:45" ht="202" customHeight="1" x14ac:dyDescent="0.2">
      <c r="A83" s="97"/>
      <c r="B83" s="36">
        <v>145</v>
      </c>
      <c r="C83" s="36" t="s">
        <v>791</v>
      </c>
      <c r="D83" s="36" t="s">
        <v>792</v>
      </c>
      <c r="E83" s="36" t="s">
        <v>793</v>
      </c>
      <c r="F83" s="36" t="s">
        <v>208</v>
      </c>
      <c r="G83" s="58">
        <v>2025</v>
      </c>
      <c r="H83" s="36" t="s">
        <v>473</v>
      </c>
      <c r="I83" s="37" t="s">
        <v>63</v>
      </c>
      <c r="J83" s="36" t="s">
        <v>474</v>
      </c>
      <c r="K83" s="37">
        <v>20</v>
      </c>
      <c r="L83" s="37">
        <v>2</v>
      </c>
      <c r="M83" s="36" t="s">
        <v>794</v>
      </c>
      <c r="N83" s="37">
        <v>7</v>
      </c>
      <c r="O83" s="36" t="s">
        <v>795</v>
      </c>
      <c r="P83" s="40" t="s">
        <v>58</v>
      </c>
      <c r="Q83" s="37" t="s">
        <v>59</v>
      </c>
      <c r="R83" s="37">
        <v>5</v>
      </c>
      <c r="S83" s="36" t="s">
        <v>796</v>
      </c>
      <c r="T83" s="36" t="s">
        <v>55</v>
      </c>
      <c r="U83" s="37" t="s">
        <v>55</v>
      </c>
      <c r="V83" s="57" t="s">
        <v>797</v>
      </c>
      <c r="W83" s="37" t="s">
        <v>63</v>
      </c>
      <c r="X83" s="36" t="s">
        <v>798</v>
      </c>
      <c r="Y83" s="37" t="s">
        <v>59</v>
      </c>
      <c r="Z83" s="36"/>
      <c r="AA83" s="37" t="s">
        <v>55</v>
      </c>
      <c r="AB83" s="38" t="s">
        <v>55</v>
      </c>
      <c r="AC83" s="36" t="s">
        <v>502</v>
      </c>
      <c r="AD83" s="36" t="s">
        <v>799</v>
      </c>
      <c r="AE83" s="36" t="s">
        <v>800</v>
      </c>
      <c r="AF83" s="37" t="s">
        <v>801</v>
      </c>
      <c r="AG83" s="37" t="s">
        <v>59</v>
      </c>
      <c r="AH83" s="37" t="s">
        <v>63</v>
      </c>
      <c r="AI83" s="38" t="s">
        <v>59</v>
      </c>
      <c r="AJ83" s="50" t="s">
        <v>63</v>
      </c>
      <c r="AK83" s="37" t="s">
        <v>802</v>
      </c>
      <c r="AL83" s="37" t="s">
        <v>59</v>
      </c>
      <c r="AM83" s="37" t="s">
        <v>63</v>
      </c>
      <c r="AN83" s="37"/>
      <c r="AO83" s="37"/>
      <c r="AP83" s="37" t="s">
        <v>63</v>
      </c>
      <c r="AR83" s="38" t="s">
        <v>803</v>
      </c>
      <c r="AS83" t="str">
        <f t="shared" si="1"/>
        <v/>
      </c>
    </row>
    <row r="84" spans="1:45" ht="126" customHeight="1" x14ac:dyDescent="0.2">
      <c r="A84" s="97"/>
      <c r="B84" s="1">
        <v>45</v>
      </c>
      <c r="C84" s="1" t="s">
        <v>804</v>
      </c>
      <c r="D84" s="1" t="s">
        <v>805</v>
      </c>
      <c r="E84" s="2" t="s">
        <v>806</v>
      </c>
      <c r="F84" s="1" t="s">
        <v>72</v>
      </c>
      <c r="G84" s="3">
        <v>2019</v>
      </c>
      <c r="H84" s="1" t="s">
        <v>54</v>
      </c>
      <c r="I84" s="35" t="s">
        <v>63</v>
      </c>
      <c r="J84" s="1"/>
      <c r="K84" s="35">
        <v>25</v>
      </c>
      <c r="L84" s="35" t="s">
        <v>55</v>
      </c>
      <c r="M84" s="1" t="s">
        <v>55</v>
      </c>
      <c r="N84" s="35" t="s">
        <v>55</v>
      </c>
      <c r="O84" s="1" t="s">
        <v>807</v>
      </c>
      <c r="P84" s="1" t="s">
        <v>55</v>
      </c>
      <c r="Q84" s="35" t="s">
        <v>59</v>
      </c>
      <c r="R84" s="35">
        <v>7</v>
      </c>
      <c r="S84" s="1" t="s">
        <v>808</v>
      </c>
      <c r="T84" s="1" t="s">
        <v>809</v>
      </c>
      <c r="U84" s="35" t="s">
        <v>55</v>
      </c>
      <c r="V84" s="4" t="s">
        <v>810</v>
      </c>
      <c r="W84" s="35" t="s">
        <v>63</v>
      </c>
      <c r="X84" s="1" t="s">
        <v>811</v>
      </c>
      <c r="Y84" s="35" t="s">
        <v>63</v>
      </c>
      <c r="Z84" s="1" t="s">
        <v>812</v>
      </c>
      <c r="AA84" s="35" t="s">
        <v>813</v>
      </c>
      <c r="AB84" s="25">
        <v>0</v>
      </c>
      <c r="AC84" s="1" t="s">
        <v>814</v>
      </c>
      <c r="AD84" s="1" t="s">
        <v>815</v>
      </c>
      <c r="AE84" s="1" t="s">
        <v>80</v>
      </c>
      <c r="AF84" s="35" t="s">
        <v>63</v>
      </c>
      <c r="AG84" s="35" t="s">
        <v>59</v>
      </c>
      <c r="AH84" s="35" t="s">
        <v>63</v>
      </c>
      <c r="AI84" s="25" t="s">
        <v>59</v>
      </c>
      <c r="AJ84" s="49" t="s">
        <v>63</v>
      </c>
      <c r="AK84" s="34" t="s">
        <v>816</v>
      </c>
      <c r="AL84" s="35" t="s">
        <v>59</v>
      </c>
      <c r="AM84" s="35" t="s">
        <v>63</v>
      </c>
      <c r="AN84" s="35"/>
      <c r="AO84" s="35"/>
      <c r="AP84" s="35" t="s">
        <v>59</v>
      </c>
      <c r="AQ84" s="25" t="s">
        <v>81</v>
      </c>
      <c r="AR84" s="1"/>
      <c r="AS84" t="str">
        <f t="shared" si="1"/>
        <v/>
      </c>
    </row>
    <row r="85" spans="1:45" ht="178" customHeight="1" x14ac:dyDescent="0.2">
      <c r="A85" s="97"/>
      <c r="B85" s="1">
        <v>29</v>
      </c>
      <c r="C85" s="1" t="s">
        <v>817</v>
      </c>
      <c r="D85" s="1" t="s">
        <v>818</v>
      </c>
      <c r="E85" s="12" t="s">
        <v>819</v>
      </c>
      <c r="F85" s="1" t="s">
        <v>72</v>
      </c>
      <c r="G85" s="3">
        <v>2018</v>
      </c>
      <c r="H85" s="1" t="s">
        <v>124</v>
      </c>
      <c r="I85" s="35" t="s">
        <v>63</v>
      </c>
      <c r="J85" s="1"/>
      <c r="K85" s="35">
        <v>50</v>
      </c>
      <c r="L85" s="35" t="s">
        <v>55</v>
      </c>
      <c r="M85" s="1" t="s">
        <v>55</v>
      </c>
      <c r="N85" s="35">
        <v>15</v>
      </c>
      <c r="O85" s="1" t="s">
        <v>820</v>
      </c>
      <c r="P85" s="1" t="s">
        <v>58</v>
      </c>
      <c r="Q85" s="35" t="s">
        <v>59</v>
      </c>
      <c r="R85" s="35">
        <v>8</v>
      </c>
      <c r="S85" s="1" t="s">
        <v>821</v>
      </c>
      <c r="T85" s="1" t="s">
        <v>55</v>
      </c>
      <c r="U85" s="35" t="s">
        <v>55</v>
      </c>
      <c r="V85" s="4" t="s">
        <v>311</v>
      </c>
      <c r="W85" s="35" t="s">
        <v>59</v>
      </c>
      <c r="X85" s="1" t="s">
        <v>511</v>
      </c>
      <c r="Y85" s="35" t="s">
        <v>822</v>
      </c>
      <c r="Z85" s="1" t="s">
        <v>150</v>
      </c>
      <c r="AA85" s="35">
        <v>10.24</v>
      </c>
      <c r="AB85" s="25" t="s">
        <v>823</v>
      </c>
      <c r="AC85" s="1" t="s">
        <v>824</v>
      </c>
      <c r="AD85" s="1" t="s">
        <v>66</v>
      </c>
      <c r="AE85" s="1" t="s">
        <v>699</v>
      </c>
      <c r="AF85" s="35" t="s">
        <v>194</v>
      </c>
      <c r="AG85" s="35" t="s">
        <v>59</v>
      </c>
      <c r="AH85" s="35" t="s">
        <v>59</v>
      </c>
      <c r="AI85" s="25" t="s">
        <v>59</v>
      </c>
      <c r="AJ85" s="49" t="s">
        <v>63</v>
      </c>
      <c r="AK85" s="34" t="s">
        <v>825</v>
      </c>
      <c r="AL85" s="35" t="s">
        <v>59</v>
      </c>
      <c r="AM85" s="35" t="s">
        <v>63</v>
      </c>
      <c r="AN85" s="35"/>
      <c r="AO85" s="35"/>
      <c r="AP85" s="35" t="s">
        <v>59</v>
      </c>
      <c r="AQ85" s="26" t="s">
        <v>81</v>
      </c>
      <c r="AR85" s="1"/>
      <c r="AS85" t="str">
        <f t="shared" si="1"/>
        <v/>
      </c>
    </row>
    <row r="86" spans="1:45" ht="48" x14ac:dyDescent="0.2">
      <c r="A86" s="98"/>
      <c r="B86" s="16">
        <v>113</v>
      </c>
      <c r="C86" s="16" t="s">
        <v>826</v>
      </c>
      <c r="D86" s="16" t="s">
        <v>827</v>
      </c>
      <c r="E86" s="16" t="s">
        <v>828</v>
      </c>
      <c r="F86" s="16" t="s">
        <v>829</v>
      </c>
      <c r="G86" s="17">
        <v>2022</v>
      </c>
      <c r="H86" s="16" t="s">
        <v>54</v>
      </c>
      <c r="I86" s="15" t="s">
        <v>55</v>
      </c>
      <c r="J86" s="16"/>
      <c r="K86" s="15" t="s">
        <v>55</v>
      </c>
      <c r="L86" s="15" t="s">
        <v>55</v>
      </c>
      <c r="M86" s="16" t="s">
        <v>55</v>
      </c>
      <c r="N86" s="15" t="s">
        <v>55</v>
      </c>
      <c r="O86" s="16" t="s">
        <v>55</v>
      </c>
      <c r="P86" s="16" t="s">
        <v>55</v>
      </c>
      <c r="Q86" s="15" t="s">
        <v>63</v>
      </c>
      <c r="R86" s="15">
        <v>8</v>
      </c>
      <c r="S86" s="16" t="s">
        <v>830</v>
      </c>
      <c r="T86" s="16" t="s">
        <v>55</v>
      </c>
      <c r="U86" s="15" t="s">
        <v>55</v>
      </c>
      <c r="V86" s="18" t="s">
        <v>831</v>
      </c>
      <c r="W86" s="15" t="s">
        <v>63</v>
      </c>
      <c r="X86" s="16" t="s">
        <v>55</v>
      </c>
      <c r="Y86" s="15" t="s">
        <v>63</v>
      </c>
      <c r="Z86" s="16" t="s">
        <v>832</v>
      </c>
      <c r="AA86" s="15">
        <v>2</v>
      </c>
      <c r="AB86" s="27" t="s">
        <v>55</v>
      </c>
      <c r="AC86" s="16" t="s">
        <v>55</v>
      </c>
      <c r="AD86" s="16" t="s">
        <v>121</v>
      </c>
      <c r="AE86" s="16" t="s">
        <v>833</v>
      </c>
      <c r="AF86" s="15" t="s">
        <v>63</v>
      </c>
      <c r="AG86" s="15" t="s">
        <v>59</v>
      </c>
      <c r="AH86" s="15" t="s">
        <v>59</v>
      </c>
      <c r="AI86" s="27" t="s">
        <v>59</v>
      </c>
      <c r="AJ86" s="52" t="s">
        <v>59</v>
      </c>
      <c r="AK86" s="15"/>
      <c r="AL86" s="15" t="s">
        <v>59</v>
      </c>
      <c r="AM86" s="15" t="s">
        <v>59</v>
      </c>
      <c r="AN86" s="15" t="s">
        <v>68</v>
      </c>
      <c r="AO86" s="15"/>
      <c r="AP86" s="15" t="s">
        <v>59</v>
      </c>
      <c r="AQ86" s="27" t="s">
        <v>69</v>
      </c>
      <c r="AR86" s="1"/>
      <c r="AS86" t="str">
        <f t="shared" si="1"/>
        <v/>
      </c>
    </row>
    <row r="87" spans="1:45" ht="176" x14ac:dyDescent="0.2">
      <c r="A87" s="99" t="s">
        <v>834</v>
      </c>
      <c r="B87" s="42">
        <v>26</v>
      </c>
      <c r="C87" s="42" t="s">
        <v>835</v>
      </c>
      <c r="D87" s="42" t="s">
        <v>836</v>
      </c>
      <c r="E87" s="64" t="s">
        <v>837</v>
      </c>
      <c r="F87" s="42" t="s">
        <v>407</v>
      </c>
      <c r="G87" s="44">
        <v>2022</v>
      </c>
      <c r="H87" s="42" t="s">
        <v>236</v>
      </c>
      <c r="I87" s="46" t="s">
        <v>63</v>
      </c>
      <c r="J87" s="42"/>
      <c r="K87" s="46" t="s">
        <v>838</v>
      </c>
      <c r="L87" s="46" t="s">
        <v>55</v>
      </c>
      <c r="M87" s="42" t="s">
        <v>839</v>
      </c>
      <c r="N87" s="46" t="s">
        <v>840</v>
      </c>
      <c r="O87" s="42" t="s">
        <v>55</v>
      </c>
      <c r="P87" s="42" t="s">
        <v>55</v>
      </c>
      <c r="Q87" s="46" t="s">
        <v>59</v>
      </c>
      <c r="R87" s="46">
        <v>18</v>
      </c>
      <c r="S87" s="42" t="s">
        <v>841</v>
      </c>
      <c r="T87" s="42" t="s">
        <v>55</v>
      </c>
      <c r="U87" s="46" t="s">
        <v>55</v>
      </c>
      <c r="V87" s="45" t="s">
        <v>842</v>
      </c>
      <c r="W87" s="46" t="s">
        <v>63</v>
      </c>
      <c r="X87" s="42" t="s">
        <v>843</v>
      </c>
      <c r="Y87" s="46" t="s">
        <v>844</v>
      </c>
      <c r="Z87" s="42" t="s">
        <v>845</v>
      </c>
      <c r="AA87" s="46">
        <v>10</v>
      </c>
      <c r="AB87" s="47">
        <v>80</v>
      </c>
      <c r="AC87" s="42" t="s">
        <v>106</v>
      </c>
      <c r="AD87" s="42" t="s">
        <v>846</v>
      </c>
      <c r="AE87" s="42" t="s">
        <v>80</v>
      </c>
      <c r="AF87" s="46" t="s">
        <v>59</v>
      </c>
      <c r="AG87" s="46" t="s">
        <v>59</v>
      </c>
      <c r="AH87" s="46" t="s">
        <v>59</v>
      </c>
      <c r="AI87" s="47" t="s">
        <v>59</v>
      </c>
      <c r="AJ87" s="53" t="s">
        <v>63</v>
      </c>
      <c r="AK87" s="65" t="s">
        <v>847</v>
      </c>
      <c r="AL87" s="46" t="s">
        <v>59</v>
      </c>
      <c r="AM87" s="46" t="s">
        <v>63</v>
      </c>
      <c r="AN87" s="46"/>
      <c r="AO87" s="46"/>
      <c r="AP87" s="46" t="s">
        <v>59</v>
      </c>
      <c r="AQ87" s="66" t="s">
        <v>81</v>
      </c>
      <c r="AR87" s="1"/>
      <c r="AS87" t="str">
        <f t="shared" si="1"/>
        <v/>
      </c>
    </row>
    <row r="88" spans="1:45" ht="112" x14ac:dyDescent="0.2">
      <c r="A88" s="100"/>
      <c r="B88" s="1">
        <v>122</v>
      </c>
      <c r="C88" s="1" t="s">
        <v>848</v>
      </c>
      <c r="D88" s="1" t="s">
        <v>849</v>
      </c>
      <c r="E88" s="1" t="s">
        <v>850</v>
      </c>
      <c r="F88" s="1" t="s">
        <v>663</v>
      </c>
      <c r="G88" s="3">
        <v>2016</v>
      </c>
      <c r="H88" s="1" t="s">
        <v>209</v>
      </c>
      <c r="I88" s="35" t="s">
        <v>63</v>
      </c>
      <c r="J88" s="1" t="s">
        <v>3</v>
      </c>
      <c r="K88" s="35">
        <v>32</v>
      </c>
      <c r="L88" s="35" t="s">
        <v>55</v>
      </c>
      <c r="M88" s="1" t="s">
        <v>55</v>
      </c>
      <c r="N88" s="35">
        <v>16</v>
      </c>
      <c r="O88" s="1" t="s">
        <v>55</v>
      </c>
      <c r="P88" s="1" t="s">
        <v>58</v>
      </c>
      <c r="Q88" s="35" t="s">
        <v>59</v>
      </c>
      <c r="R88" s="35">
        <v>12</v>
      </c>
      <c r="S88" s="1" t="s">
        <v>851</v>
      </c>
      <c r="T88" s="1" t="s">
        <v>55</v>
      </c>
      <c r="U88" s="35" t="s">
        <v>222</v>
      </c>
      <c r="V88" s="4" t="s">
        <v>852</v>
      </c>
      <c r="W88" s="35" t="s">
        <v>853</v>
      </c>
      <c r="X88" s="1" t="s">
        <v>55</v>
      </c>
      <c r="Y88" s="35" t="s">
        <v>63</v>
      </c>
      <c r="Z88" s="1" t="s">
        <v>854</v>
      </c>
      <c r="AA88" s="35">
        <v>4</v>
      </c>
      <c r="AB88" s="25" t="s">
        <v>55</v>
      </c>
      <c r="AC88" s="1" t="s">
        <v>65</v>
      </c>
      <c r="AD88" s="1" t="s">
        <v>66</v>
      </c>
      <c r="AE88" s="1" t="s">
        <v>855</v>
      </c>
      <c r="AF88" s="35" t="s">
        <v>856</v>
      </c>
      <c r="AG88" s="35" t="s">
        <v>59</v>
      </c>
      <c r="AH88" s="35" t="s">
        <v>63</v>
      </c>
      <c r="AI88" s="25" t="s">
        <v>59</v>
      </c>
      <c r="AJ88" s="49" t="s">
        <v>59</v>
      </c>
      <c r="AK88" s="35"/>
      <c r="AL88" s="35" t="s">
        <v>59</v>
      </c>
      <c r="AM88" s="35" t="s">
        <v>59</v>
      </c>
      <c r="AN88" s="35" t="s">
        <v>68</v>
      </c>
      <c r="AO88" s="35"/>
      <c r="AP88" s="35" t="s">
        <v>59</v>
      </c>
      <c r="AQ88" s="25" t="s">
        <v>81</v>
      </c>
      <c r="AR88" s="1"/>
      <c r="AS88" t="str">
        <f t="shared" si="1"/>
        <v/>
      </c>
    </row>
    <row r="89" spans="1:45" x14ac:dyDescent="0.2">
      <c r="A89" s="100"/>
      <c r="B89" s="114">
        <v>2</v>
      </c>
      <c r="C89" s="114" t="s">
        <v>857</v>
      </c>
      <c r="D89" s="114" t="s">
        <v>858</v>
      </c>
      <c r="E89" s="126" t="s">
        <v>859</v>
      </c>
      <c r="F89" s="114" t="s">
        <v>860</v>
      </c>
      <c r="G89" s="122">
        <v>2019</v>
      </c>
      <c r="H89" s="114" t="s">
        <v>373</v>
      </c>
      <c r="I89" s="92" t="s">
        <v>63</v>
      </c>
      <c r="J89" s="114"/>
      <c r="K89" s="92">
        <v>90</v>
      </c>
      <c r="L89" s="92">
        <v>4</v>
      </c>
      <c r="M89" s="114" t="s">
        <v>374</v>
      </c>
      <c r="N89" s="35">
        <v>33</v>
      </c>
      <c r="O89" s="1" t="s">
        <v>861</v>
      </c>
      <c r="P89" s="1" t="s">
        <v>58</v>
      </c>
      <c r="Q89" s="127" t="s">
        <v>55</v>
      </c>
      <c r="R89" s="92">
        <v>4</v>
      </c>
      <c r="S89" s="114" t="s">
        <v>862</v>
      </c>
      <c r="T89" s="114" t="s">
        <v>150</v>
      </c>
      <c r="U89" s="92" t="s">
        <v>112</v>
      </c>
      <c r="V89" s="115" t="s">
        <v>706</v>
      </c>
      <c r="W89" s="92" t="s">
        <v>59</v>
      </c>
      <c r="X89" s="114" t="s">
        <v>863</v>
      </c>
      <c r="Y89" s="92" t="s">
        <v>63</v>
      </c>
      <c r="Z89" s="114" t="s">
        <v>864</v>
      </c>
      <c r="AA89" s="92">
        <v>12.8</v>
      </c>
      <c r="AB89" s="91">
        <v>0</v>
      </c>
      <c r="AC89" s="114" t="s">
        <v>120</v>
      </c>
      <c r="AD89" s="114" t="s">
        <v>865</v>
      </c>
      <c r="AE89" s="114" t="s">
        <v>80</v>
      </c>
      <c r="AF89" s="92" t="s">
        <v>59</v>
      </c>
      <c r="AG89" s="92" t="s">
        <v>59</v>
      </c>
      <c r="AH89" s="92" t="s">
        <v>866</v>
      </c>
      <c r="AI89" s="91" t="s">
        <v>59</v>
      </c>
      <c r="AJ89" s="95" t="s">
        <v>59</v>
      </c>
      <c r="AK89" s="92"/>
      <c r="AL89" s="92" t="s">
        <v>59</v>
      </c>
      <c r="AM89" s="92" t="s">
        <v>63</v>
      </c>
      <c r="AN89" s="92"/>
      <c r="AO89" s="35"/>
      <c r="AP89" s="92" t="s">
        <v>63</v>
      </c>
      <c r="AQ89" s="91"/>
      <c r="AR89" s="1"/>
      <c r="AS89" t="str">
        <f t="shared" si="1"/>
        <v/>
      </c>
    </row>
    <row r="90" spans="1:45" x14ac:dyDescent="0.2">
      <c r="A90" s="100"/>
      <c r="B90" s="114"/>
      <c r="C90" s="114"/>
      <c r="D90" s="114"/>
      <c r="E90" s="126"/>
      <c r="F90" s="114"/>
      <c r="G90" s="122"/>
      <c r="H90" s="114"/>
      <c r="I90" s="92"/>
      <c r="J90" s="114"/>
      <c r="K90" s="92"/>
      <c r="L90" s="92"/>
      <c r="M90" s="114"/>
      <c r="N90" s="35">
        <v>20</v>
      </c>
      <c r="O90" s="1" t="s">
        <v>867</v>
      </c>
      <c r="P90" s="1" t="s">
        <v>58</v>
      </c>
      <c r="Q90" s="127"/>
      <c r="R90" s="92"/>
      <c r="S90" s="114"/>
      <c r="T90" s="114"/>
      <c r="U90" s="92"/>
      <c r="V90" s="115"/>
      <c r="W90" s="92"/>
      <c r="X90" s="114"/>
      <c r="Y90" s="92"/>
      <c r="Z90" s="114"/>
      <c r="AA90" s="92"/>
      <c r="AB90" s="91"/>
      <c r="AC90" s="114"/>
      <c r="AD90" s="114"/>
      <c r="AE90" s="114"/>
      <c r="AF90" s="92"/>
      <c r="AG90" s="92"/>
      <c r="AH90" s="92"/>
      <c r="AI90" s="91"/>
      <c r="AJ90" s="95"/>
      <c r="AK90" s="92"/>
      <c r="AL90" s="92"/>
      <c r="AM90" s="92"/>
      <c r="AN90" s="92"/>
      <c r="AO90" s="35"/>
      <c r="AP90" s="92"/>
      <c r="AQ90" s="91"/>
      <c r="AR90" s="1"/>
      <c r="AS90" t="str">
        <f t="shared" si="1"/>
        <v/>
      </c>
    </row>
    <row r="91" spans="1:45" ht="32" x14ac:dyDescent="0.2">
      <c r="A91" s="100"/>
      <c r="B91" s="1">
        <v>95</v>
      </c>
      <c r="C91" s="1" t="s">
        <v>868</v>
      </c>
      <c r="D91" s="1" t="s">
        <v>869</v>
      </c>
      <c r="E91" s="1" t="s">
        <v>870</v>
      </c>
      <c r="F91" s="1" t="s">
        <v>86</v>
      </c>
      <c r="G91" s="3">
        <v>2017</v>
      </c>
      <c r="H91" s="1" t="s">
        <v>54</v>
      </c>
      <c r="I91" s="35" t="s">
        <v>55</v>
      </c>
      <c r="J91" s="1"/>
      <c r="K91" s="35">
        <v>10</v>
      </c>
      <c r="L91" s="35" t="s">
        <v>55</v>
      </c>
      <c r="M91" s="1" t="s">
        <v>871</v>
      </c>
      <c r="N91" s="35">
        <v>12</v>
      </c>
      <c r="O91" s="1" t="s">
        <v>872</v>
      </c>
      <c r="P91" s="40" t="s">
        <v>58</v>
      </c>
      <c r="Q91" s="35" t="s">
        <v>59</v>
      </c>
      <c r="R91" s="35">
        <v>5</v>
      </c>
      <c r="S91" s="1" t="s">
        <v>873</v>
      </c>
      <c r="T91" s="1" t="s">
        <v>55</v>
      </c>
      <c r="U91" s="35" t="s">
        <v>55</v>
      </c>
      <c r="V91" s="4" t="s">
        <v>874</v>
      </c>
      <c r="W91" s="35" t="s">
        <v>63</v>
      </c>
      <c r="X91" s="1" t="s">
        <v>55</v>
      </c>
      <c r="Y91" s="35" t="s">
        <v>63</v>
      </c>
      <c r="Z91" s="1" t="s">
        <v>105</v>
      </c>
      <c r="AA91" s="35">
        <v>10</v>
      </c>
      <c r="AB91" s="25" t="s">
        <v>55</v>
      </c>
      <c r="AC91" s="1" t="s">
        <v>120</v>
      </c>
      <c r="AD91" s="1" t="s">
        <v>107</v>
      </c>
      <c r="AE91" s="1" t="s">
        <v>875</v>
      </c>
      <c r="AF91" s="35" t="s">
        <v>63</v>
      </c>
      <c r="AG91" s="35" t="s">
        <v>63</v>
      </c>
      <c r="AH91" s="35" t="s">
        <v>59</v>
      </c>
      <c r="AI91" s="25" t="s">
        <v>59</v>
      </c>
      <c r="AJ91" s="49" t="s">
        <v>59</v>
      </c>
      <c r="AK91" s="35"/>
      <c r="AL91" s="35" t="s">
        <v>59</v>
      </c>
      <c r="AM91" s="35" t="s">
        <v>59</v>
      </c>
      <c r="AN91" s="35" t="s">
        <v>68</v>
      </c>
      <c r="AO91" s="35"/>
      <c r="AP91" s="35" t="s">
        <v>59</v>
      </c>
      <c r="AQ91" s="25" t="s">
        <v>69</v>
      </c>
      <c r="AR91" s="1"/>
      <c r="AS91" t="str">
        <f t="shared" si="1"/>
        <v/>
      </c>
    </row>
    <row r="92" spans="1:45" x14ac:dyDescent="0.2">
      <c r="A92" s="100"/>
      <c r="B92" s="114">
        <v>110</v>
      </c>
      <c r="C92" s="114" t="s">
        <v>876</v>
      </c>
      <c r="D92" s="114" t="s">
        <v>877</v>
      </c>
      <c r="E92" s="125" t="s">
        <v>878</v>
      </c>
      <c r="F92" s="114" t="s">
        <v>290</v>
      </c>
      <c r="G92" s="122">
        <v>2023</v>
      </c>
      <c r="H92" s="1" t="s">
        <v>219</v>
      </c>
      <c r="I92" s="35" t="s">
        <v>63</v>
      </c>
      <c r="J92" s="1"/>
      <c r="K92" s="35">
        <v>32</v>
      </c>
      <c r="L92" s="35" t="s">
        <v>55</v>
      </c>
      <c r="M92" s="1" t="s">
        <v>55</v>
      </c>
      <c r="N92" s="35">
        <v>10</v>
      </c>
      <c r="O92" s="1" t="s">
        <v>55</v>
      </c>
      <c r="P92" s="1" t="s">
        <v>58</v>
      </c>
      <c r="Q92" s="35" t="s">
        <v>63</v>
      </c>
      <c r="R92" s="35">
        <v>4</v>
      </c>
      <c r="S92" s="1" t="s">
        <v>879</v>
      </c>
      <c r="T92" s="1" t="s">
        <v>55</v>
      </c>
      <c r="U92" s="35" t="s">
        <v>222</v>
      </c>
      <c r="V92" s="115" t="s">
        <v>880</v>
      </c>
      <c r="W92" s="92" t="s">
        <v>59</v>
      </c>
      <c r="X92" s="114" t="s">
        <v>55</v>
      </c>
      <c r="Y92" s="92" t="s">
        <v>59</v>
      </c>
      <c r="Z92" s="114"/>
      <c r="AA92" s="92">
        <v>12</v>
      </c>
      <c r="AB92" s="91">
        <v>50</v>
      </c>
      <c r="AC92" s="114" t="s">
        <v>120</v>
      </c>
      <c r="AD92" s="114" t="s">
        <v>881</v>
      </c>
      <c r="AE92" s="114" t="s">
        <v>882</v>
      </c>
      <c r="AF92" s="92" t="s">
        <v>63</v>
      </c>
      <c r="AG92" s="92" t="s">
        <v>59</v>
      </c>
      <c r="AH92" s="92" t="s">
        <v>63</v>
      </c>
      <c r="AI92" s="91" t="s">
        <v>883</v>
      </c>
      <c r="AJ92" s="95" t="s">
        <v>59</v>
      </c>
      <c r="AK92" s="92"/>
      <c r="AL92" s="92" t="s">
        <v>59</v>
      </c>
      <c r="AM92" s="92" t="s">
        <v>63</v>
      </c>
      <c r="AN92" s="92"/>
      <c r="AO92" s="35"/>
      <c r="AP92" s="92" t="s">
        <v>63</v>
      </c>
      <c r="AQ92" s="91"/>
      <c r="AR92" s="1"/>
      <c r="AS92" t="str">
        <f t="shared" si="1"/>
        <v/>
      </c>
    </row>
    <row r="93" spans="1:45" ht="80" x14ac:dyDescent="0.2">
      <c r="A93" s="100"/>
      <c r="B93" s="114"/>
      <c r="C93" s="114"/>
      <c r="D93" s="114"/>
      <c r="E93" s="114"/>
      <c r="F93" s="114"/>
      <c r="G93" s="122"/>
      <c r="H93" s="1" t="s">
        <v>54</v>
      </c>
      <c r="I93" s="35" t="s">
        <v>63</v>
      </c>
      <c r="J93" s="2" t="s">
        <v>884</v>
      </c>
      <c r="K93" s="35">
        <v>32</v>
      </c>
      <c r="L93" s="35">
        <v>2</v>
      </c>
      <c r="M93" s="1" t="s">
        <v>177</v>
      </c>
      <c r="N93" s="35">
        <v>18</v>
      </c>
      <c r="O93" s="1" t="s">
        <v>885</v>
      </c>
      <c r="P93" s="1" t="s">
        <v>886</v>
      </c>
      <c r="Q93" s="35" t="s">
        <v>59</v>
      </c>
      <c r="R93" s="35">
        <v>5</v>
      </c>
      <c r="S93" s="1" t="s">
        <v>887</v>
      </c>
      <c r="T93" s="1" t="s">
        <v>55</v>
      </c>
      <c r="U93" s="35" t="s">
        <v>55</v>
      </c>
      <c r="V93" s="115"/>
      <c r="W93" s="92"/>
      <c r="X93" s="114"/>
      <c r="Y93" s="92"/>
      <c r="Z93" s="114"/>
      <c r="AA93" s="92"/>
      <c r="AB93" s="91"/>
      <c r="AC93" s="114"/>
      <c r="AD93" s="114"/>
      <c r="AE93" s="114"/>
      <c r="AF93" s="92"/>
      <c r="AG93" s="92"/>
      <c r="AH93" s="92"/>
      <c r="AI93" s="91"/>
      <c r="AJ93" s="95"/>
      <c r="AK93" s="92"/>
      <c r="AL93" s="92"/>
      <c r="AM93" s="92"/>
      <c r="AN93" s="92"/>
      <c r="AO93" s="35"/>
      <c r="AP93" s="92"/>
      <c r="AQ93" s="91"/>
      <c r="AR93" s="1"/>
      <c r="AS93" t="str">
        <f t="shared" si="1"/>
        <v/>
      </c>
    </row>
    <row r="94" spans="1:45" ht="80" x14ac:dyDescent="0.2">
      <c r="A94" s="101"/>
      <c r="B94" s="16">
        <v>67</v>
      </c>
      <c r="C94" s="16" t="s">
        <v>888</v>
      </c>
      <c r="D94" s="16" t="s">
        <v>889</v>
      </c>
      <c r="E94" s="16" t="s">
        <v>890</v>
      </c>
      <c r="F94" s="16" t="s">
        <v>472</v>
      </c>
      <c r="G94" s="17">
        <v>2020</v>
      </c>
      <c r="H94" s="16" t="s">
        <v>891</v>
      </c>
      <c r="I94" s="15" t="s">
        <v>63</v>
      </c>
      <c r="J94" s="41" t="s">
        <v>892</v>
      </c>
      <c r="K94" s="15">
        <v>100</v>
      </c>
      <c r="L94" s="15" t="s">
        <v>55</v>
      </c>
      <c r="M94" s="16" t="s">
        <v>55</v>
      </c>
      <c r="N94" s="15">
        <v>50</v>
      </c>
      <c r="O94" s="16" t="s">
        <v>55</v>
      </c>
      <c r="P94" s="67" t="s">
        <v>58</v>
      </c>
      <c r="Q94" s="15" t="s">
        <v>59</v>
      </c>
      <c r="R94" s="15">
        <v>9</v>
      </c>
      <c r="S94" s="16" t="s">
        <v>893</v>
      </c>
      <c r="T94" s="16" t="s">
        <v>55</v>
      </c>
      <c r="U94" s="15" t="s">
        <v>222</v>
      </c>
      <c r="V94" s="18" t="s">
        <v>894</v>
      </c>
      <c r="W94" s="15" t="s">
        <v>59</v>
      </c>
      <c r="X94" s="16" t="s">
        <v>479</v>
      </c>
      <c r="Y94" s="15" t="s">
        <v>63</v>
      </c>
      <c r="Z94" s="16" t="s">
        <v>895</v>
      </c>
      <c r="AA94" s="15">
        <v>5</v>
      </c>
      <c r="AB94" s="27">
        <v>0</v>
      </c>
      <c r="AC94" s="16" t="s">
        <v>896</v>
      </c>
      <c r="AD94" s="16" t="s">
        <v>66</v>
      </c>
      <c r="AE94" s="16" t="s">
        <v>80</v>
      </c>
      <c r="AF94" s="15" t="s">
        <v>59</v>
      </c>
      <c r="AG94" s="15" t="s">
        <v>63</v>
      </c>
      <c r="AH94" s="15" t="s">
        <v>63</v>
      </c>
      <c r="AI94" s="27" t="s">
        <v>59</v>
      </c>
      <c r="AJ94" s="52" t="s">
        <v>59</v>
      </c>
      <c r="AK94" s="15"/>
      <c r="AL94" s="15" t="s">
        <v>59</v>
      </c>
      <c r="AM94" s="15" t="s">
        <v>59</v>
      </c>
      <c r="AN94" s="15" t="s">
        <v>82</v>
      </c>
      <c r="AO94" s="15"/>
      <c r="AP94" s="15" t="s">
        <v>59</v>
      </c>
      <c r="AQ94" s="27" t="s">
        <v>81</v>
      </c>
      <c r="AR94" s="1"/>
      <c r="AS94" t="str">
        <f t="shared" si="1"/>
        <v/>
      </c>
    </row>
    <row r="95" spans="1:45" ht="192" x14ac:dyDescent="0.2">
      <c r="A95" s="102" t="s">
        <v>897</v>
      </c>
      <c r="B95" s="42">
        <v>22</v>
      </c>
      <c r="C95" s="42" t="s">
        <v>898</v>
      </c>
      <c r="D95" s="42" t="s">
        <v>899</v>
      </c>
      <c r="E95" s="43" t="s">
        <v>900</v>
      </c>
      <c r="F95" s="42" t="s">
        <v>290</v>
      </c>
      <c r="G95" s="44">
        <v>2022</v>
      </c>
      <c r="H95" s="42" t="s">
        <v>236</v>
      </c>
      <c r="I95" s="46" t="s">
        <v>63</v>
      </c>
      <c r="J95" s="42"/>
      <c r="K95" s="46">
        <v>20</v>
      </c>
      <c r="L95" s="46" t="s">
        <v>55</v>
      </c>
      <c r="M95" s="42" t="s">
        <v>901</v>
      </c>
      <c r="N95" s="46">
        <v>51</v>
      </c>
      <c r="O95" s="42" t="s">
        <v>55</v>
      </c>
      <c r="P95" s="42" t="s">
        <v>58</v>
      </c>
      <c r="Q95" s="46" t="s">
        <v>63</v>
      </c>
      <c r="R95" s="46">
        <v>18</v>
      </c>
      <c r="S95" s="42" t="s">
        <v>902</v>
      </c>
      <c r="T95" s="42" t="s">
        <v>55</v>
      </c>
      <c r="U95" s="46" t="s">
        <v>134</v>
      </c>
      <c r="V95" s="45" t="s">
        <v>903</v>
      </c>
      <c r="W95" s="46" t="s">
        <v>63</v>
      </c>
      <c r="X95" s="42" t="s">
        <v>904</v>
      </c>
      <c r="Y95" s="46" t="s">
        <v>63</v>
      </c>
      <c r="Z95" s="42" t="s">
        <v>905</v>
      </c>
      <c r="AA95" s="46">
        <v>10</v>
      </c>
      <c r="AB95" s="47">
        <v>0</v>
      </c>
      <c r="AC95" s="42" t="s">
        <v>55</v>
      </c>
      <c r="AD95" s="42" t="s">
        <v>66</v>
      </c>
      <c r="AE95" s="42" t="s">
        <v>906</v>
      </c>
      <c r="AF95" s="46" t="s">
        <v>59</v>
      </c>
      <c r="AG95" s="46" t="s">
        <v>63</v>
      </c>
      <c r="AH95" s="46" t="s">
        <v>59</v>
      </c>
      <c r="AI95" s="47" t="s">
        <v>59</v>
      </c>
      <c r="AJ95" s="53" t="s">
        <v>59</v>
      </c>
      <c r="AK95" s="46"/>
      <c r="AL95" s="46" t="s">
        <v>59</v>
      </c>
      <c r="AM95" s="46" t="s">
        <v>63</v>
      </c>
      <c r="AN95" s="46"/>
      <c r="AO95" s="46"/>
      <c r="AP95" s="46" t="s">
        <v>59</v>
      </c>
      <c r="AQ95" s="66" t="s">
        <v>81</v>
      </c>
      <c r="AR95" s="1"/>
      <c r="AS95" t="str">
        <f t="shared" si="1"/>
        <v/>
      </c>
    </row>
    <row r="96" spans="1:45" ht="350" x14ac:dyDescent="0.2">
      <c r="A96" s="103"/>
      <c r="B96" s="1">
        <v>80</v>
      </c>
      <c r="C96" s="1" t="s">
        <v>907</v>
      </c>
      <c r="D96" s="1" t="s">
        <v>908</v>
      </c>
      <c r="E96" s="1" t="s">
        <v>909</v>
      </c>
      <c r="F96" s="1" t="s">
        <v>472</v>
      </c>
      <c r="G96" s="3">
        <v>2014</v>
      </c>
      <c r="H96" s="1" t="s">
        <v>54</v>
      </c>
      <c r="I96" s="35" t="s">
        <v>55</v>
      </c>
      <c r="J96" s="1"/>
      <c r="K96" s="35">
        <v>64</v>
      </c>
      <c r="L96" s="35" t="s">
        <v>55</v>
      </c>
      <c r="M96" s="1" t="s">
        <v>910</v>
      </c>
      <c r="N96" s="35">
        <v>15</v>
      </c>
      <c r="O96" s="1" t="s">
        <v>911</v>
      </c>
      <c r="P96" s="1" t="s">
        <v>58</v>
      </c>
      <c r="Q96" s="35" t="s">
        <v>59</v>
      </c>
      <c r="R96" s="35">
        <v>2</v>
      </c>
      <c r="S96" s="1" t="s">
        <v>912</v>
      </c>
      <c r="T96" s="1" t="s">
        <v>913</v>
      </c>
      <c r="U96" s="35" t="s">
        <v>112</v>
      </c>
      <c r="V96" s="4" t="s">
        <v>914</v>
      </c>
      <c r="W96" s="35" t="s">
        <v>59</v>
      </c>
      <c r="X96" s="1" t="s">
        <v>55</v>
      </c>
      <c r="Y96" s="35" t="s">
        <v>63</v>
      </c>
      <c r="Z96" s="1" t="s">
        <v>915</v>
      </c>
      <c r="AA96" s="35">
        <v>4</v>
      </c>
      <c r="AB96" s="25" t="s">
        <v>55</v>
      </c>
      <c r="AC96" s="1" t="s">
        <v>120</v>
      </c>
      <c r="AD96" s="1" t="s">
        <v>66</v>
      </c>
      <c r="AE96" s="1" t="s">
        <v>352</v>
      </c>
      <c r="AF96" s="35" t="s">
        <v>63</v>
      </c>
      <c r="AG96" s="35" t="s">
        <v>63</v>
      </c>
      <c r="AH96" s="35" t="s">
        <v>59</v>
      </c>
      <c r="AI96" s="25" t="s">
        <v>59</v>
      </c>
      <c r="AJ96" s="49" t="s">
        <v>59</v>
      </c>
      <c r="AK96" s="35"/>
      <c r="AL96" s="35" t="s">
        <v>59</v>
      </c>
      <c r="AM96" s="35" t="s">
        <v>59</v>
      </c>
      <c r="AN96" s="35" t="s">
        <v>93</v>
      </c>
      <c r="AO96" s="35"/>
      <c r="AP96" s="35" t="s">
        <v>59</v>
      </c>
      <c r="AQ96" s="25" t="s">
        <v>69</v>
      </c>
      <c r="AR96" s="1"/>
      <c r="AS96" t="str">
        <f t="shared" si="1"/>
        <v/>
      </c>
    </row>
    <row r="97" spans="1:45" ht="176" x14ac:dyDescent="0.2">
      <c r="A97" s="103"/>
      <c r="B97" s="1">
        <v>10</v>
      </c>
      <c r="C97" s="1" t="s">
        <v>916</v>
      </c>
      <c r="D97" s="1" t="s">
        <v>917</v>
      </c>
      <c r="E97" s="2" t="s">
        <v>918</v>
      </c>
      <c r="F97" s="1" t="s">
        <v>53</v>
      </c>
      <c r="G97" s="3">
        <v>2021</v>
      </c>
      <c r="H97" s="1" t="s">
        <v>448</v>
      </c>
      <c r="I97" s="35" t="s">
        <v>63</v>
      </c>
      <c r="J97" s="1"/>
      <c r="K97" s="35">
        <v>32</v>
      </c>
      <c r="L97" s="35" t="s">
        <v>55</v>
      </c>
      <c r="M97" s="1" t="s">
        <v>177</v>
      </c>
      <c r="N97" s="35">
        <v>15</v>
      </c>
      <c r="O97" s="1" t="s">
        <v>919</v>
      </c>
      <c r="P97" s="1" t="s">
        <v>58</v>
      </c>
      <c r="Q97" s="35" t="s">
        <v>59</v>
      </c>
      <c r="R97" s="35" t="s">
        <v>920</v>
      </c>
      <c r="S97" s="1" t="s">
        <v>921</v>
      </c>
      <c r="T97" s="1" t="s">
        <v>922</v>
      </c>
      <c r="U97" s="35" t="s">
        <v>147</v>
      </c>
      <c r="V97" s="4" t="s">
        <v>543</v>
      </c>
      <c r="W97" s="35" t="s">
        <v>59</v>
      </c>
      <c r="X97" s="1" t="s">
        <v>923</v>
      </c>
      <c r="Y97" s="35" t="s">
        <v>63</v>
      </c>
      <c r="Z97" s="1" t="s">
        <v>924</v>
      </c>
      <c r="AA97" s="35">
        <v>7</v>
      </c>
      <c r="AB97" s="25">
        <v>0</v>
      </c>
      <c r="AC97" s="1" t="s">
        <v>925</v>
      </c>
      <c r="AD97" s="1" t="s">
        <v>926</v>
      </c>
      <c r="AE97" s="1" t="s">
        <v>927</v>
      </c>
      <c r="AF97" s="35" t="s">
        <v>63</v>
      </c>
      <c r="AG97" s="35" t="s">
        <v>63</v>
      </c>
      <c r="AH97" s="35" t="s">
        <v>59</v>
      </c>
      <c r="AI97" s="25" t="s">
        <v>59</v>
      </c>
      <c r="AJ97" s="49" t="s">
        <v>59</v>
      </c>
      <c r="AK97" s="35"/>
      <c r="AL97" s="35" t="s">
        <v>59</v>
      </c>
      <c r="AM97" s="35" t="s">
        <v>63</v>
      </c>
      <c r="AN97" s="35"/>
      <c r="AO97" s="35"/>
      <c r="AP97" s="35" t="s">
        <v>59</v>
      </c>
      <c r="AQ97" s="25" t="s">
        <v>81</v>
      </c>
      <c r="AR97" s="1"/>
      <c r="AS97" t="str">
        <f t="shared" si="1"/>
        <v/>
      </c>
    </row>
    <row r="98" spans="1:45" ht="32" x14ac:dyDescent="0.2">
      <c r="A98" s="103"/>
      <c r="B98" s="1">
        <v>96</v>
      </c>
      <c r="C98" s="1" t="s">
        <v>928</v>
      </c>
      <c r="D98" s="1" t="s">
        <v>929</v>
      </c>
      <c r="E98" s="1" t="s">
        <v>930</v>
      </c>
      <c r="F98" s="1" t="s">
        <v>72</v>
      </c>
      <c r="G98" s="3">
        <v>2010</v>
      </c>
      <c r="H98" s="1" t="s">
        <v>54</v>
      </c>
      <c r="I98" s="35" t="s">
        <v>55</v>
      </c>
      <c r="J98" s="1"/>
      <c r="K98" s="35">
        <v>50</v>
      </c>
      <c r="L98" s="35" t="s">
        <v>55</v>
      </c>
      <c r="M98" s="1" t="s">
        <v>55</v>
      </c>
      <c r="N98" s="35">
        <v>11</v>
      </c>
      <c r="O98" s="1" t="s">
        <v>931</v>
      </c>
      <c r="P98" s="1" t="s">
        <v>58</v>
      </c>
      <c r="Q98" s="35" t="s">
        <v>63</v>
      </c>
      <c r="R98" s="35">
        <v>5</v>
      </c>
      <c r="S98" s="1" t="s">
        <v>932</v>
      </c>
      <c r="T98" s="1" t="s">
        <v>80</v>
      </c>
      <c r="U98" s="35" t="s">
        <v>222</v>
      </c>
      <c r="V98" s="4" t="s">
        <v>933</v>
      </c>
      <c r="W98" s="35" t="s">
        <v>63</v>
      </c>
      <c r="X98" s="1" t="s">
        <v>55</v>
      </c>
      <c r="Y98" s="35" t="s">
        <v>63</v>
      </c>
      <c r="Z98" s="1" t="s">
        <v>934</v>
      </c>
      <c r="AA98" s="35">
        <v>5</v>
      </c>
      <c r="AB98" s="25">
        <v>0</v>
      </c>
      <c r="AC98" s="1" t="s">
        <v>120</v>
      </c>
      <c r="AD98" s="1" t="s">
        <v>935</v>
      </c>
      <c r="AE98" s="1" t="s">
        <v>936</v>
      </c>
      <c r="AF98" s="35" t="s">
        <v>63</v>
      </c>
      <c r="AG98" s="35" t="s">
        <v>63</v>
      </c>
      <c r="AH98" s="35" t="s">
        <v>59</v>
      </c>
      <c r="AI98" s="25" t="s">
        <v>59</v>
      </c>
      <c r="AJ98" s="49" t="s">
        <v>59</v>
      </c>
      <c r="AK98" s="35"/>
      <c r="AL98" s="35" t="s">
        <v>59</v>
      </c>
      <c r="AM98" s="35" t="s">
        <v>63</v>
      </c>
      <c r="AN98" s="35"/>
      <c r="AO98" s="35"/>
      <c r="AP98" s="35" t="s">
        <v>59</v>
      </c>
      <c r="AQ98" s="25" t="s">
        <v>69</v>
      </c>
      <c r="AR98" s="1"/>
      <c r="AS98" t="str">
        <f t="shared" si="1"/>
        <v/>
      </c>
    </row>
    <row r="99" spans="1:45" ht="32" x14ac:dyDescent="0.2">
      <c r="A99" s="103"/>
      <c r="B99" s="1">
        <v>120</v>
      </c>
      <c r="C99" s="1" t="s">
        <v>937</v>
      </c>
      <c r="D99" s="1" t="s">
        <v>929</v>
      </c>
      <c r="E99" s="1" t="s">
        <v>938</v>
      </c>
      <c r="F99" s="1" t="s">
        <v>129</v>
      </c>
      <c r="G99" s="3">
        <v>2011</v>
      </c>
      <c r="H99" s="1" t="s">
        <v>54</v>
      </c>
      <c r="I99" s="35"/>
      <c r="J99" s="1"/>
      <c r="K99" s="35">
        <v>50</v>
      </c>
      <c r="L99" s="35">
        <v>3</v>
      </c>
      <c r="M99" s="1" t="s">
        <v>939</v>
      </c>
      <c r="N99" s="35">
        <v>11</v>
      </c>
      <c r="O99" s="1" t="s">
        <v>931</v>
      </c>
      <c r="P99" s="1" t="s">
        <v>58</v>
      </c>
      <c r="Q99" s="35" t="s">
        <v>55</v>
      </c>
      <c r="R99" s="35">
        <v>15</v>
      </c>
      <c r="S99" s="1" t="s">
        <v>105</v>
      </c>
      <c r="T99" s="1" t="s">
        <v>105</v>
      </c>
      <c r="U99" s="35" t="s">
        <v>55</v>
      </c>
      <c r="V99" s="4" t="s">
        <v>940</v>
      </c>
      <c r="W99" s="35" t="s">
        <v>59</v>
      </c>
      <c r="X99" s="1" t="s">
        <v>55</v>
      </c>
      <c r="Y99" s="35" t="s">
        <v>63</v>
      </c>
      <c r="Z99" s="1" t="s">
        <v>607</v>
      </c>
      <c r="AA99" s="35">
        <v>5</v>
      </c>
      <c r="AB99" s="25">
        <v>0</v>
      </c>
      <c r="AC99" s="1" t="s">
        <v>120</v>
      </c>
      <c r="AD99" s="1" t="s">
        <v>935</v>
      </c>
      <c r="AE99" s="1" t="s">
        <v>941</v>
      </c>
      <c r="AF99" s="35" t="s">
        <v>59</v>
      </c>
      <c r="AG99" s="35" t="s">
        <v>63</v>
      </c>
      <c r="AH99" s="35" t="s">
        <v>59</v>
      </c>
      <c r="AI99" s="25" t="s">
        <v>59</v>
      </c>
      <c r="AJ99" s="49" t="s">
        <v>59</v>
      </c>
      <c r="AK99" s="35"/>
      <c r="AL99" s="35" t="s">
        <v>59</v>
      </c>
      <c r="AM99" s="35" t="s">
        <v>63</v>
      </c>
      <c r="AN99" s="35"/>
      <c r="AO99" s="35"/>
      <c r="AP99" s="35" t="s">
        <v>59</v>
      </c>
      <c r="AQ99" s="25" t="s">
        <v>69</v>
      </c>
      <c r="AR99" s="1" t="s">
        <v>3</v>
      </c>
      <c r="AS99" t="str">
        <f t="shared" si="1"/>
        <v/>
      </c>
    </row>
    <row r="100" spans="1:45" ht="119" x14ac:dyDescent="0.2">
      <c r="A100" s="103"/>
      <c r="B100" s="36">
        <v>148</v>
      </c>
      <c r="C100" s="36" t="s">
        <v>942</v>
      </c>
      <c r="D100" s="36" t="s">
        <v>114</v>
      </c>
      <c r="E100" s="36" t="s">
        <v>943</v>
      </c>
      <c r="F100" s="36" t="s">
        <v>417</v>
      </c>
      <c r="G100" s="58">
        <v>2024</v>
      </c>
      <c r="H100" s="36" t="s">
        <v>944</v>
      </c>
      <c r="I100" s="37" t="s">
        <v>63</v>
      </c>
      <c r="J100" s="36" t="s">
        <v>945</v>
      </c>
      <c r="K100" s="37">
        <v>50</v>
      </c>
      <c r="L100" s="37">
        <v>8</v>
      </c>
      <c r="M100" s="36" t="s">
        <v>946</v>
      </c>
      <c r="N100" s="37">
        <v>22</v>
      </c>
      <c r="O100" s="36" t="s">
        <v>947</v>
      </c>
      <c r="P100" s="40" t="s">
        <v>58</v>
      </c>
      <c r="Q100" s="37" t="s">
        <v>948</v>
      </c>
      <c r="R100" s="37" t="s">
        <v>949</v>
      </c>
      <c r="S100" s="36" t="s">
        <v>950</v>
      </c>
      <c r="T100" s="36" t="s">
        <v>55</v>
      </c>
      <c r="U100" s="37" t="s">
        <v>222</v>
      </c>
      <c r="V100" s="57" t="s">
        <v>951</v>
      </c>
      <c r="W100" s="37" t="s">
        <v>63</v>
      </c>
      <c r="X100" s="36" t="s">
        <v>55</v>
      </c>
      <c r="Y100" s="37" t="s">
        <v>59</v>
      </c>
      <c r="Z100" s="36"/>
      <c r="AA100" s="37">
        <v>1</v>
      </c>
      <c r="AB100" s="38">
        <v>50</v>
      </c>
      <c r="AC100" s="36" t="s">
        <v>120</v>
      </c>
      <c r="AD100" s="36" t="s">
        <v>952</v>
      </c>
      <c r="AE100" s="36" t="s">
        <v>227</v>
      </c>
      <c r="AF100" s="39" t="s">
        <v>194</v>
      </c>
      <c r="AG100" s="37" t="s">
        <v>63</v>
      </c>
      <c r="AH100" s="37" t="s">
        <v>59</v>
      </c>
      <c r="AI100" s="38" t="s">
        <v>59</v>
      </c>
      <c r="AJ100" s="50" t="s">
        <v>63</v>
      </c>
      <c r="AK100" s="37" t="s">
        <v>953</v>
      </c>
      <c r="AL100" s="37" t="s">
        <v>59</v>
      </c>
      <c r="AM100" s="37" t="s">
        <v>63</v>
      </c>
      <c r="AN100" s="37"/>
      <c r="AO100" s="37"/>
      <c r="AP100" s="37" t="s">
        <v>63</v>
      </c>
      <c r="AQ100" s="38"/>
      <c r="AR100" s="23"/>
      <c r="AS100" t="str">
        <f t="shared" si="1"/>
        <v/>
      </c>
    </row>
    <row r="101" spans="1:45" ht="48" x14ac:dyDescent="0.2">
      <c r="A101" s="103"/>
      <c r="B101" s="1">
        <v>17</v>
      </c>
      <c r="C101" s="1" t="s">
        <v>954</v>
      </c>
      <c r="D101" s="1" t="s">
        <v>955</v>
      </c>
      <c r="E101" s="2" t="s">
        <v>956</v>
      </c>
      <c r="F101" s="40" t="s">
        <v>86</v>
      </c>
      <c r="G101" s="13">
        <v>2013</v>
      </c>
      <c r="H101" s="1" t="s">
        <v>54</v>
      </c>
      <c r="I101" s="35" t="s">
        <v>55</v>
      </c>
      <c r="J101" s="1"/>
      <c r="K101" s="35">
        <v>51.2</v>
      </c>
      <c r="L101" s="35">
        <v>6</v>
      </c>
      <c r="M101" s="1" t="s">
        <v>294</v>
      </c>
      <c r="N101" s="35">
        <v>8</v>
      </c>
      <c r="O101" s="1" t="s">
        <v>957</v>
      </c>
      <c r="P101" s="1" t="s">
        <v>58</v>
      </c>
      <c r="Q101" s="35" t="s">
        <v>59</v>
      </c>
      <c r="R101" s="35">
        <v>7</v>
      </c>
      <c r="S101" s="1" t="s">
        <v>958</v>
      </c>
      <c r="T101" s="1" t="s">
        <v>55</v>
      </c>
      <c r="U101" s="35" t="s">
        <v>614</v>
      </c>
      <c r="V101" s="4" t="s">
        <v>959</v>
      </c>
      <c r="W101" s="35" t="s">
        <v>63</v>
      </c>
      <c r="X101" s="1" t="s">
        <v>55</v>
      </c>
      <c r="Y101" s="35" t="s">
        <v>63</v>
      </c>
      <c r="Z101" s="1" t="s">
        <v>607</v>
      </c>
      <c r="AA101" s="35">
        <v>10</v>
      </c>
      <c r="AB101" s="25">
        <v>50</v>
      </c>
      <c r="AC101" s="1" t="s">
        <v>65</v>
      </c>
      <c r="AD101" s="1" t="s">
        <v>960</v>
      </c>
      <c r="AE101" s="1" t="s">
        <v>961</v>
      </c>
      <c r="AF101" s="35" t="s">
        <v>63</v>
      </c>
      <c r="AG101" s="35" t="s">
        <v>63</v>
      </c>
      <c r="AH101" s="35" t="s">
        <v>59</v>
      </c>
      <c r="AI101" s="25" t="s">
        <v>59</v>
      </c>
      <c r="AJ101" s="49" t="s">
        <v>59</v>
      </c>
      <c r="AK101" s="35"/>
      <c r="AL101" s="35" t="s">
        <v>59</v>
      </c>
      <c r="AM101" s="35" t="s">
        <v>59</v>
      </c>
      <c r="AN101" s="35" t="s">
        <v>68</v>
      </c>
      <c r="AO101" s="35"/>
      <c r="AP101" s="35" t="s">
        <v>59</v>
      </c>
      <c r="AQ101" s="25" t="s">
        <v>69</v>
      </c>
      <c r="AR101" s="1"/>
      <c r="AS101" t="str">
        <f t="shared" si="1"/>
        <v/>
      </c>
    </row>
    <row r="102" spans="1:45" ht="289" x14ac:dyDescent="0.2">
      <c r="A102" s="103"/>
      <c r="B102" s="36">
        <v>154</v>
      </c>
      <c r="C102" s="36" t="s">
        <v>962</v>
      </c>
      <c r="D102" s="36" t="s">
        <v>963</v>
      </c>
      <c r="E102" s="36" t="s">
        <v>964</v>
      </c>
      <c r="F102" s="36" t="s">
        <v>318</v>
      </c>
      <c r="G102" s="58">
        <v>2024</v>
      </c>
      <c r="H102" s="36" t="s">
        <v>54</v>
      </c>
      <c r="I102" s="37" t="s">
        <v>63</v>
      </c>
      <c r="J102" s="36" t="s">
        <v>965</v>
      </c>
      <c r="K102" s="37">
        <v>50</v>
      </c>
      <c r="L102" s="37" t="s">
        <v>55</v>
      </c>
      <c r="M102" s="36" t="s">
        <v>55</v>
      </c>
      <c r="N102" s="37">
        <v>40</v>
      </c>
      <c r="O102" s="36" t="s">
        <v>966</v>
      </c>
      <c r="P102" s="40" t="s">
        <v>58</v>
      </c>
      <c r="Q102" s="37" t="s">
        <v>967</v>
      </c>
      <c r="R102" s="37">
        <v>21</v>
      </c>
      <c r="S102" s="36" t="s">
        <v>968</v>
      </c>
      <c r="T102" s="36" t="s">
        <v>969</v>
      </c>
      <c r="U102" s="37" t="s">
        <v>134</v>
      </c>
      <c r="V102" s="57" t="s">
        <v>970</v>
      </c>
      <c r="W102" s="37" t="s">
        <v>63</v>
      </c>
      <c r="X102" s="36" t="s">
        <v>55</v>
      </c>
      <c r="Y102" s="37" t="s">
        <v>59</v>
      </c>
      <c r="Z102" s="36"/>
      <c r="AA102" s="37" t="s">
        <v>55</v>
      </c>
      <c r="AB102" s="38" t="s">
        <v>55</v>
      </c>
      <c r="AC102" s="36" t="s">
        <v>971</v>
      </c>
      <c r="AD102" s="36" t="s">
        <v>972</v>
      </c>
      <c r="AE102" s="36" t="s">
        <v>936</v>
      </c>
      <c r="AF102" s="37" t="s">
        <v>63</v>
      </c>
      <c r="AG102" s="37" t="s">
        <v>63</v>
      </c>
      <c r="AH102" s="37" t="s">
        <v>63</v>
      </c>
      <c r="AI102" s="38" t="s">
        <v>59</v>
      </c>
      <c r="AJ102" s="50" t="s">
        <v>63</v>
      </c>
      <c r="AK102" s="37" t="s">
        <v>965</v>
      </c>
      <c r="AL102" s="37" t="s">
        <v>59</v>
      </c>
      <c r="AM102" s="37" t="s">
        <v>63</v>
      </c>
      <c r="AN102" s="37"/>
      <c r="AO102" s="37"/>
      <c r="AP102" s="37" t="s">
        <v>63</v>
      </c>
      <c r="AQ102" s="38"/>
      <c r="AR102" s="23"/>
      <c r="AS102" t="str">
        <f t="shared" si="1"/>
        <v/>
      </c>
    </row>
    <row r="103" spans="1:45" ht="192" x14ac:dyDescent="0.2">
      <c r="A103" s="103"/>
      <c r="B103" s="1">
        <v>116</v>
      </c>
      <c r="C103" s="1" t="s">
        <v>973</v>
      </c>
      <c r="D103" s="2" t="s">
        <v>974</v>
      </c>
      <c r="E103" s="1" t="s">
        <v>975</v>
      </c>
      <c r="F103" s="1" t="s">
        <v>976</v>
      </c>
      <c r="G103" s="3">
        <v>2021</v>
      </c>
      <c r="H103" s="1" t="s">
        <v>54</v>
      </c>
      <c r="I103" s="35" t="s">
        <v>59</v>
      </c>
      <c r="J103" s="1" t="s">
        <v>55</v>
      </c>
      <c r="K103" s="35">
        <v>100</v>
      </c>
      <c r="L103" s="35" t="s">
        <v>55</v>
      </c>
      <c r="M103" s="1" t="s">
        <v>977</v>
      </c>
      <c r="N103" s="35">
        <v>93</v>
      </c>
      <c r="O103" s="56" t="s">
        <v>978</v>
      </c>
      <c r="P103" s="1" t="s">
        <v>58</v>
      </c>
      <c r="Q103" s="35" t="s">
        <v>59</v>
      </c>
      <c r="R103" s="35">
        <v>32</v>
      </c>
      <c r="S103" s="1" t="s">
        <v>979</v>
      </c>
      <c r="T103" s="1" t="s">
        <v>55</v>
      </c>
      <c r="U103" s="35" t="s">
        <v>222</v>
      </c>
      <c r="V103" s="4" t="s">
        <v>980</v>
      </c>
      <c r="W103" s="35" t="s">
        <v>59</v>
      </c>
      <c r="X103" s="1" t="s">
        <v>55</v>
      </c>
      <c r="Y103" s="35" t="s">
        <v>63</v>
      </c>
      <c r="Z103" s="1" t="s">
        <v>150</v>
      </c>
      <c r="AA103" s="35">
        <v>16</v>
      </c>
      <c r="AB103" s="25">
        <v>0</v>
      </c>
      <c r="AC103" s="1" t="s">
        <v>981</v>
      </c>
      <c r="AD103" s="1" t="s">
        <v>982</v>
      </c>
      <c r="AE103" s="1" t="s">
        <v>983</v>
      </c>
      <c r="AF103" s="35" t="s">
        <v>984</v>
      </c>
      <c r="AG103" s="35" t="s">
        <v>63</v>
      </c>
      <c r="AH103" s="35" t="s">
        <v>59</v>
      </c>
      <c r="AI103" s="25" t="s">
        <v>59</v>
      </c>
      <c r="AJ103" s="49" t="s">
        <v>59</v>
      </c>
      <c r="AK103" s="35"/>
      <c r="AL103" s="35" t="s">
        <v>59</v>
      </c>
      <c r="AM103" s="35" t="s">
        <v>59</v>
      </c>
      <c r="AN103" s="35" t="s">
        <v>68</v>
      </c>
      <c r="AO103" s="35"/>
      <c r="AP103" s="35" t="s">
        <v>59</v>
      </c>
      <c r="AQ103" s="25" t="s">
        <v>69</v>
      </c>
      <c r="AR103" s="1"/>
      <c r="AS103" t="str">
        <f t="shared" si="1"/>
        <v/>
      </c>
    </row>
    <row r="104" spans="1:45" ht="176" x14ac:dyDescent="0.2">
      <c r="A104" s="103"/>
      <c r="B104" s="1">
        <v>109</v>
      </c>
      <c r="C104" s="1" t="s">
        <v>985</v>
      </c>
      <c r="D104" s="1" t="s">
        <v>986</v>
      </c>
      <c r="E104" s="1" t="s">
        <v>987</v>
      </c>
      <c r="F104" s="1" t="s">
        <v>459</v>
      </c>
      <c r="G104" s="3">
        <v>2022</v>
      </c>
      <c r="H104" s="1" t="s">
        <v>54</v>
      </c>
      <c r="I104" s="35" t="s">
        <v>55</v>
      </c>
      <c r="J104" s="1"/>
      <c r="K104" s="35">
        <v>100</v>
      </c>
      <c r="L104" s="35" t="s">
        <v>55</v>
      </c>
      <c r="M104" s="1" t="s">
        <v>988</v>
      </c>
      <c r="N104" s="35">
        <v>11</v>
      </c>
      <c r="O104" s="1" t="s">
        <v>989</v>
      </c>
      <c r="P104" s="1" t="s">
        <v>58</v>
      </c>
      <c r="Q104" s="35" t="s">
        <v>55</v>
      </c>
      <c r="R104" s="35">
        <v>5</v>
      </c>
      <c r="S104" s="40" t="s">
        <v>150</v>
      </c>
      <c r="T104" s="40" t="s">
        <v>150</v>
      </c>
      <c r="U104" s="35" t="s">
        <v>112</v>
      </c>
      <c r="V104" s="4" t="s">
        <v>990</v>
      </c>
      <c r="W104" s="35" t="s">
        <v>59</v>
      </c>
      <c r="X104" s="1" t="s">
        <v>104</v>
      </c>
      <c r="Y104" s="35" t="s">
        <v>63</v>
      </c>
      <c r="Z104" s="1" t="s">
        <v>991</v>
      </c>
      <c r="AA104" s="35">
        <v>2</v>
      </c>
      <c r="AB104" s="25">
        <v>50</v>
      </c>
      <c r="AC104" s="1" t="s">
        <v>120</v>
      </c>
      <c r="AD104" s="1" t="s">
        <v>992</v>
      </c>
      <c r="AE104" s="1" t="s">
        <v>80</v>
      </c>
      <c r="AF104" s="35" t="s">
        <v>63</v>
      </c>
      <c r="AG104" s="35" t="s">
        <v>59</v>
      </c>
      <c r="AH104" s="35" t="s">
        <v>59</v>
      </c>
      <c r="AI104" s="25" t="s">
        <v>59</v>
      </c>
      <c r="AJ104" s="49" t="s">
        <v>59</v>
      </c>
      <c r="AK104" s="35"/>
      <c r="AL104" s="35" t="s">
        <v>59</v>
      </c>
      <c r="AM104" s="35" t="s">
        <v>63</v>
      </c>
      <c r="AN104" s="35"/>
      <c r="AO104" s="35"/>
      <c r="AP104" s="35" t="s">
        <v>59</v>
      </c>
      <c r="AQ104" s="25" t="s">
        <v>69</v>
      </c>
      <c r="AR104" s="1"/>
      <c r="AS104" t="str">
        <f t="shared" si="1"/>
        <v/>
      </c>
    </row>
    <row r="105" spans="1:45" ht="48" x14ac:dyDescent="0.2">
      <c r="A105" s="103"/>
      <c r="B105" s="1">
        <v>34</v>
      </c>
      <c r="C105" s="1" t="s">
        <v>993</v>
      </c>
      <c r="D105" s="1" t="s">
        <v>994</v>
      </c>
      <c r="E105" s="2" t="s">
        <v>995</v>
      </c>
      <c r="F105" s="1" t="s">
        <v>199</v>
      </c>
      <c r="G105" s="3">
        <v>2017</v>
      </c>
      <c r="H105" s="1" t="s">
        <v>54</v>
      </c>
      <c r="I105" s="35" t="s">
        <v>55</v>
      </c>
      <c r="J105" s="1"/>
      <c r="K105" s="35">
        <v>30</v>
      </c>
      <c r="L105" s="35" t="s">
        <v>55</v>
      </c>
      <c r="M105" s="1" t="s">
        <v>996</v>
      </c>
      <c r="N105" s="35">
        <v>2</v>
      </c>
      <c r="O105" s="1" t="s">
        <v>997</v>
      </c>
      <c r="P105" s="1" t="s">
        <v>58</v>
      </c>
      <c r="Q105" s="35" t="s">
        <v>59</v>
      </c>
      <c r="R105" s="35">
        <v>5</v>
      </c>
      <c r="S105" s="1" t="s">
        <v>998</v>
      </c>
      <c r="T105" s="1" t="s">
        <v>55</v>
      </c>
      <c r="U105" s="35" t="s">
        <v>112</v>
      </c>
      <c r="V105" s="4" t="s">
        <v>999</v>
      </c>
      <c r="W105" s="35" t="s">
        <v>59</v>
      </c>
      <c r="X105" s="1" t="s">
        <v>655</v>
      </c>
      <c r="Y105" s="35" t="s">
        <v>63</v>
      </c>
      <c r="Z105" s="1" t="s">
        <v>1000</v>
      </c>
      <c r="AA105" s="35">
        <v>0.33</v>
      </c>
      <c r="AB105" s="25">
        <v>0</v>
      </c>
      <c r="AC105" s="1" t="s">
        <v>65</v>
      </c>
      <c r="AD105" s="1" t="s">
        <v>66</v>
      </c>
      <c r="AE105" s="1" t="s">
        <v>241</v>
      </c>
      <c r="AF105" s="35" t="s">
        <v>59</v>
      </c>
      <c r="AG105" s="35" t="s">
        <v>63</v>
      </c>
      <c r="AH105" s="35" t="s">
        <v>59</v>
      </c>
      <c r="AI105" s="25" t="s">
        <v>59</v>
      </c>
      <c r="AJ105" s="49" t="s">
        <v>59</v>
      </c>
      <c r="AK105" s="35"/>
      <c r="AL105" s="35" t="s">
        <v>59</v>
      </c>
      <c r="AM105" s="35" t="s">
        <v>59</v>
      </c>
      <c r="AN105" s="35" t="s">
        <v>68</v>
      </c>
      <c r="AO105" s="35"/>
      <c r="AP105" s="35" t="s">
        <v>59</v>
      </c>
      <c r="AQ105" s="25" t="s">
        <v>69</v>
      </c>
      <c r="AR105" s="1"/>
      <c r="AS105" t="str">
        <f t="shared" si="1"/>
        <v/>
      </c>
    </row>
    <row r="106" spans="1:45" ht="32" x14ac:dyDescent="0.2">
      <c r="A106" s="103"/>
      <c r="B106" s="1">
        <v>69</v>
      </c>
      <c r="C106" s="1" t="s">
        <v>1001</v>
      </c>
      <c r="D106" s="1" t="s">
        <v>1002</v>
      </c>
      <c r="E106" s="1" t="s">
        <v>1003</v>
      </c>
      <c r="F106" s="1" t="s">
        <v>472</v>
      </c>
      <c r="G106" s="3">
        <v>2014</v>
      </c>
      <c r="H106" s="1" t="s">
        <v>54</v>
      </c>
      <c r="I106" s="35" t="s">
        <v>55</v>
      </c>
      <c r="J106" s="1"/>
      <c r="K106" s="35">
        <v>10</v>
      </c>
      <c r="L106" s="35">
        <v>6</v>
      </c>
      <c r="M106" s="1" t="s">
        <v>294</v>
      </c>
      <c r="N106" s="35">
        <v>10</v>
      </c>
      <c r="O106" s="1" t="s">
        <v>268</v>
      </c>
      <c r="P106" s="1" t="s">
        <v>58</v>
      </c>
      <c r="Q106" s="35" t="s">
        <v>59</v>
      </c>
      <c r="R106" s="35" t="s">
        <v>1004</v>
      </c>
      <c r="S106" s="1" t="s">
        <v>1005</v>
      </c>
      <c r="T106" s="1" t="s">
        <v>105</v>
      </c>
      <c r="U106" s="35" t="s">
        <v>112</v>
      </c>
      <c r="V106" s="4" t="s">
        <v>1006</v>
      </c>
      <c r="W106" s="35" t="s">
        <v>63</v>
      </c>
      <c r="X106" s="1" t="s">
        <v>655</v>
      </c>
      <c r="Y106" s="35" t="s">
        <v>63</v>
      </c>
      <c r="Z106" s="1" t="s">
        <v>607</v>
      </c>
      <c r="AA106" s="35">
        <v>12.8</v>
      </c>
      <c r="AB106" s="25">
        <v>50</v>
      </c>
      <c r="AC106" s="1" t="s">
        <v>120</v>
      </c>
      <c r="AD106" s="1" t="s">
        <v>107</v>
      </c>
      <c r="AE106" s="1" t="s">
        <v>1007</v>
      </c>
      <c r="AF106" s="35" t="s">
        <v>63</v>
      </c>
      <c r="AG106" s="35" t="s">
        <v>63</v>
      </c>
      <c r="AH106" s="35" t="s">
        <v>59</v>
      </c>
      <c r="AI106" s="25" t="s">
        <v>59</v>
      </c>
      <c r="AJ106" s="49" t="s">
        <v>59</v>
      </c>
      <c r="AK106" s="35"/>
      <c r="AL106" s="35" t="s">
        <v>59</v>
      </c>
      <c r="AM106" s="35" t="s">
        <v>63</v>
      </c>
      <c r="AN106" s="35"/>
      <c r="AO106" s="35"/>
      <c r="AP106" s="35" t="s">
        <v>59</v>
      </c>
      <c r="AQ106" s="25" t="s">
        <v>69</v>
      </c>
      <c r="AR106" s="1"/>
      <c r="AS106" t="str">
        <f t="shared" si="1"/>
        <v/>
      </c>
    </row>
    <row r="107" spans="1:45" ht="128" x14ac:dyDescent="0.2">
      <c r="A107" s="103"/>
      <c r="B107" s="1">
        <v>137</v>
      </c>
      <c r="C107" s="1" t="s">
        <v>1008</v>
      </c>
      <c r="D107" s="1" t="s">
        <v>858</v>
      </c>
      <c r="E107" s="1" t="s">
        <v>1009</v>
      </c>
      <c r="F107" s="1" t="s">
        <v>690</v>
      </c>
      <c r="G107" s="3">
        <v>2013</v>
      </c>
      <c r="H107" s="1" t="s">
        <v>1010</v>
      </c>
      <c r="I107" s="35" t="s">
        <v>63</v>
      </c>
      <c r="J107" s="1"/>
      <c r="K107" s="35">
        <v>90</v>
      </c>
      <c r="L107" s="35">
        <v>4</v>
      </c>
      <c r="M107" s="1" t="s">
        <v>374</v>
      </c>
      <c r="N107" s="35" t="s">
        <v>1011</v>
      </c>
      <c r="O107" s="1" t="s">
        <v>1012</v>
      </c>
      <c r="P107" s="1" t="s">
        <v>58</v>
      </c>
      <c r="Q107" s="35" t="s">
        <v>55</v>
      </c>
      <c r="R107" s="35" t="s">
        <v>1013</v>
      </c>
      <c r="S107" s="1" t="s">
        <v>1014</v>
      </c>
      <c r="T107" s="1" t="s">
        <v>1015</v>
      </c>
      <c r="U107" s="35" t="s">
        <v>112</v>
      </c>
      <c r="V107" s="4" t="s">
        <v>706</v>
      </c>
      <c r="W107" s="35" t="s">
        <v>59</v>
      </c>
      <c r="X107" s="1" t="s">
        <v>172</v>
      </c>
      <c r="Y107" s="35" t="s">
        <v>63</v>
      </c>
      <c r="Z107" s="1" t="s">
        <v>1016</v>
      </c>
      <c r="AA107" s="35">
        <v>12.8</v>
      </c>
      <c r="AB107" s="25" t="s">
        <v>55</v>
      </c>
      <c r="AC107" s="1" t="s">
        <v>566</v>
      </c>
      <c r="AD107" s="1" t="s">
        <v>1017</v>
      </c>
      <c r="AE107" s="1" t="s">
        <v>1018</v>
      </c>
      <c r="AF107" s="35" t="s">
        <v>63</v>
      </c>
      <c r="AG107" s="35" t="s">
        <v>63</v>
      </c>
      <c r="AH107" s="35" t="s">
        <v>59</v>
      </c>
      <c r="AI107" s="25" t="s">
        <v>59</v>
      </c>
      <c r="AJ107" s="49" t="s">
        <v>63</v>
      </c>
      <c r="AK107" s="35" t="s">
        <v>1019</v>
      </c>
      <c r="AL107" s="35" t="s">
        <v>59</v>
      </c>
      <c r="AM107" s="35" t="s">
        <v>63</v>
      </c>
      <c r="AN107" s="35"/>
      <c r="AO107" s="35"/>
      <c r="AP107" s="35" t="s">
        <v>63</v>
      </c>
      <c r="AQ107" s="25"/>
      <c r="AR107" s="1"/>
      <c r="AS107" t="str">
        <f t="shared" si="1"/>
        <v/>
      </c>
    </row>
    <row r="108" spans="1:45" ht="128" x14ac:dyDescent="0.2">
      <c r="A108" s="103"/>
      <c r="B108" s="1">
        <v>101</v>
      </c>
      <c r="C108" s="1" t="s">
        <v>1020</v>
      </c>
      <c r="D108" s="1" t="s">
        <v>549</v>
      </c>
      <c r="E108" s="1" t="s">
        <v>1021</v>
      </c>
      <c r="F108" s="1" t="s">
        <v>472</v>
      </c>
      <c r="G108" s="3">
        <v>2021</v>
      </c>
      <c r="H108" s="1" t="s">
        <v>109</v>
      </c>
      <c r="I108" s="35" t="s">
        <v>63</v>
      </c>
      <c r="J108" s="1"/>
      <c r="K108" s="35" t="s">
        <v>55</v>
      </c>
      <c r="L108" s="35" t="s">
        <v>55</v>
      </c>
      <c r="M108" s="1" t="s">
        <v>1022</v>
      </c>
      <c r="N108" s="35">
        <v>9</v>
      </c>
      <c r="O108" s="1" t="s">
        <v>1023</v>
      </c>
      <c r="P108" s="1" t="s">
        <v>58</v>
      </c>
      <c r="Q108" s="35" t="s">
        <v>55</v>
      </c>
      <c r="R108" s="35">
        <v>4</v>
      </c>
      <c r="S108" s="1" t="s">
        <v>1024</v>
      </c>
      <c r="T108" s="1" t="s">
        <v>55</v>
      </c>
      <c r="U108" s="35" t="s">
        <v>55</v>
      </c>
      <c r="V108" s="4" t="s">
        <v>1025</v>
      </c>
      <c r="W108" s="35" t="s">
        <v>59</v>
      </c>
      <c r="X108" s="1" t="s">
        <v>1026</v>
      </c>
      <c r="Y108" s="35" t="s">
        <v>59</v>
      </c>
      <c r="Z108" s="1"/>
      <c r="AA108" s="35" t="s">
        <v>55</v>
      </c>
      <c r="AB108" s="25" t="s">
        <v>55</v>
      </c>
      <c r="AC108" s="1" t="s">
        <v>65</v>
      </c>
      <c r="AD108" s="1" t="s">
        <v>1027</v>
      </c>
      <c r="AE108" s="1" t="s">
        <v>80</v>
      </c>
      <c r="AF108" s="35" t="s">
        <v>59</v>
      </c>
      <c r="AG108" s="35" t="s">
        <v>63</v>
      </c>
      <c r="AH108" s="35" t="s">
        <v>59</v>
      </c>
      <c r="AI108" s="25" t="s">
        <v>1028</v>
      </c>
      <c r="AJ108" s="49" t="s">
        <v>59</v>
      </c>
      <c r="AK108" s="35"/>
      <c r="AL108" s="35" t="s">
        <v>59</v>
      </c>
      <c r="AM108" s="35" t="s">
        <v>59</v>
      </c>
      <c r="AN108" s="35" t="s">
        <v>93</v>
      </c>
      <c r="AO108" s="35"/>
      <c r="AP108" s="35" t="s">
        <v>59</v>
      </c>
      <c r="AQ108" s="25" t="s">
        <v>81</v>
      </c>
      <c r="AR108" s="1"/>
      <c r="AS108" t="str">
        <f t="shared" si="1"/>
        <v/>
      </c>
    </row>
    <row r="109" spans="1:45" ht="64" x14ac:dyDescent="0.2">
      <c r="A109" s="103"/>
      <c r="B109" s="1">
        <v>65</v>
      </c>
      <c r="C109" s="1" t="s">
        <v>1029</v>
      </c>
      <c r="D109" s="1" t="s">
        <v>1030</v>
      </c>
      <c r="E109" s="1" t="s">
        <v>1031</v>
      </c>
      <c r="F109" s="1" t="s">
        <v>208</v>
      </c>
      <c r="G109" s="3">
        <v>2021</v>
      </c>
      <c r="H109" s="1" t="s">
        <v>236</v>
      </c>
      <c r="I109" s="35" t="s">
        <v>63</v>
      </c>
      <c r="J109" s="1"/>
      <c r="K109" s="35">
        <v>20</v>
      </c>
      <c r="L109" s="35" t="s">
        <v>55</v>
      </c>
      <c r="M109" s="1" t="s">
        <v>1032</v>
      </c>
      <c r="N109" s="35">
        <v>51</v>
      </c>
      <c r="O109" s="1" t="s">
        <v>55</v>
      </c>
      <c r="P109" s="1" t="s">
        <v>58</v>
      </c>
      <c r="Q109" s="35" t="s">
        <v>59</v>
      </c>
      <c r="R109" s="35">
        <v>5</v>
      </c>
      <c r="S109" s="1" t="s">
        <v>1033</v>
      </c>
      <c r="T109" s="1" t="s">
        <v>55</v>
      </c>
      <c r="U109" s="35" t="s">
        <v>55</v>
      </c>
      <c r="V109" s="4" t="s">
        <v>1034</v>
      </c>
      <c r="W109" s="35" t="s">
        <v>63</v>
      </c>
      <c r="X109" s="1" t="s">
        <v>55</v>
      </c>
      <c r="Y109" s="35" t="s">
        <v>63</v>
      </c>
      <c r="Z109" s="1" t="s">
        <v>1035</v>
      </c>
      <c r="AA109" s="35">
        <v>6</v>
      </c>
      <c r="AB109" s="25" t="s">
        <v>55</v>
      </c>
      <c r="AC109" s="1" t="s">
        <v>273</v>
      </c>
      <c r="AD109" s="1" t="s">
        <v>1036</v>
      </c>
      <c r="AE109" s="1" t="s">
        <v>1037</v>
      </c>
      <c r="AF109" s="35" t="s">
        <v>63</v>
      </c>
      <c r="AG109" s="35" t="s">
        <v>63</v>
      </c>
      <c r="AH109" s="35" t="s">
        <v>59</v>
      </c>
      <c r="AI109" s="25" t="s">
        <v>59</v>
      </c>
      <c r="AJ109" s="49" t="s">
        <v>59</v>
      </c>
      <c r="AK109" s="35"/>
      <c r="AL109" s="35" t="s">
        <v>59</v>
      </c>
      <c r="AM109" s="35" t="s">
        <v>59</v>
      </c>
      <c r="AN109" s="35" t="s">
        <v>68</v>
      </c>
      <c r="AO109" s="35"/>
      <c r="AP109" s="35" t="s">
        <v>59</v>
      </c>
      <c r="AQ109" s="25" t="s">
        <v>81</v>
      </c>
      <c r="AR109" s="1"/>
      <c r="AS109" t="str">
        <f t="shared" si="1"/>
        <v/>
      </c>
    </row>
    <row r="110" spans="1:45" ht="64" x14ac:dyDescent="0.2">
      <c r="A110" s="103"/>
      <c r="B110" s="1">
        <v>55</v>
      </c>
      <c r="C110" s="1" t="s">
        <v>1038</v>
      </c>
      <c r="D110" s="1" t="s">
        <v>1039</v>
      </c>
      <c r="E110" s="2" t="s">
        <v>1040</v>
      </c>
      <c r="F110" s="1" t="s">
        <v>472</v>
      </c>
      <c r="G110" s="3">
        <v>2017</v>
      </c>
      <c r="H110" s="1" t="s">
        <v>54</v>
      </c>
      <c r="I110" s="35" t="s">
        <v>55</v>
      </c>
      <c r="J110" s="1"/>
      <c r="K110" s="35">
        <v>15</v>
      </c>
      <c r="L110" s="35" t="s">
        <v>55</v>
      </c>
      <c r="M110" s="1" t="s">
        <v>1041</v>
      </c>
      <c r="N110" s="35">
        <v>12</v>
      </c>
      <c r="O110" s="1" t="s">
        <v>1042</v>
      </c>
      <c r="P110" s="40" t="s">
        <v>58</v>
      </c>
      <c r="Q110" s="35" t="s">
        <v>63</v>
      </c>
      <c r="R110" s="35">
        <v>7</v>
      </c>
      <c r="S110" s="1" t="s">
        <v>1043</v>
      </c>
      <c r="T110" s="1" t="s">
        <v>55</v>
      </c>
      <c r="U110" s="35" t="s">
        <v>55</v>
      </c>
      <c r="V110" s="4" t="s">
        <v>1044</v>
      </c>
      <c r="W110" s="35" t="s">
        <v>63</v>
      </c>
      <c r="X110" s="1" t="s">
        <v>655</v>
      </c>
      <c r="Y110" s="35" t="s">
        <v>63</v>
      </c>
      <c r="Z110" s="1" t="s">
        <v>150</v>
      </c>
      <c r="AA110" s="35">
        <v>1</v>
      </c>
      <c r="AB110" s="25">
        <v>50</v>
      </c>
      <c r="AC110" s="1" t="s">
        <v>1045</v>
      </c>
      <c r="AD110" s="1" t="s">
        <v>66</v>
      </c>
      <c r="AE110" s="1" t="s">
        <v>1046</v>
      </c>
      <c r="AF110" s="35" t="s">
        <v>63</v>
      </c>
      <c r="AG110" s="35" t="s">
        <v>63</v>
      </c>
      <c r="AH110" s="35" t="s">
        <v>59</v>
      </c>
      <c r="AI110" s="25" t="s">
        <v>59</v>
      </c>
      <c r="AJ110" s="49" t="s">
        <v>59</v>
      </c>
      <c r="AK110" s="35"/>
      <c r="AL110" s="35" t="s">
        <v>59</v>
      </c>
      <c r="AM110" s="35" t="s">
        <v>63</v>
      </c>
      <c r="AN110" s="35"/>
      <c r="AO110" s="35"/>
      <c r="AP110" s="35" t="s">
        <v>59</v>
      </c>
      <c r="AQ110" s="25" t="s">
        <v>69</v>
      </c>
      <c r="AR110" s="1"/>
      <c r="AS110" t="str">
        <f t="shared" si="1"/>
        <v/>
      </c>
    </row>
    <row r="111" spans="1:45" ht="102" x14ac:dyDescent="0.2">
      <c r="A111" s="103"/>
      <c r="B111" s="36">
        <v>146</v>
      </c>
      <c r="C111" s="36" t="s">
        <v>1047</v>
      </c>
      <c r="D111" s="36" t="s">
        <v>1048</v>
      </c>
      <c r="E111" s="36" t="s">
        <v>1049</v>
      </c>
      <c r="F111" s="36" t="s">
        <v>208</v>
      </c>
      <c r="G111" s="58">
        <v>2025</v>
      </c>
      <c r="H111" s="36" t="s">
        <v>1050</v>
      </c>
      <c r="I111" s="37" t="s">
        <v>63</v>
      </c>
      <c r="J111" s="12" t="s">
        <v>1051</v>
      </c>
      <c r="K111" s="37">
        <v>80</v>
      </c>
      <c r="L111" s="37">
        <v>8</v>
      </c>
      <c r="M111" s="36" t="s">
        <v>1052</v>
      </c>
      <c r="N111" s="37" t="s">
        <v>1053</v>
      </c>
      <c r="O111" s="36" t="s">
        <v>1054</v>
      </c>
      <c r="P111" s="40" t="s">
        <v>1055</v>
      </c>
      <c r="Q111" s="37" t="s">
        <v>59</v>
      </c>
      <c r="R111" s="37" t="s">
        <v>1056</v>
      </c>
      <c r="S111" s="36" t="s">
        <v>1057</v>
      </c>
      <c r="T111" s="36" t="s">
        <v>1058</v>
      </c>
      <c r="U111" s="37" t="s">
        <v>614</v>
      </c>
      <c r="V111" s="57" t="s">
        <v>543</v>
      </c>
      <c r="W111" s="37" t="s">
        <v>59</v>
      </c>
      <c r="X111" s="36" t="s">
        <v>1059</v>
      </c>
      <c r="Y111" s="37" t="s">
        <v>63</v>
      </c>
      <c r="Z111" s="36" t="s">
        <v>1060</v>
      </c>
      <c r="AA111" s="37">
        <v>10</v>
      </c>
      <c r="AB111" s="38">
        <v>0</v>
      </c>
      <c r="AC111" s="36" t="s">
        <v>120</v>
      </c>
      <c r="AD111" s="36" t="s">
        <v>1061</v>
      </c>
      <c r="AE111" s="36" t="s">
        <v>1062</v>
      </c>
      <c r="AF111" s="37" t="s">
        <v>984</v>
      </c>
      <c r="AG111" s="37" t="s">
        <v>63</v>
      </c>
      <c r="AH111" s="39" t="s">
        <v>92</v>
      </c>
      <c r="AI111" s="26" t="s">
        <v>1063</v>
      </c>
      <c r="AJ111" s="50" t="s">
        <v>63</v>
      </c>
      <c r="AK111" s="37" t="s">
        <v>1064</v>
      </c>
      <c r="AL111" s="37" t="s">
        <v>63</v>
      </c>
      <c r="AM111" s="37" t="s">
        <v>63</v>
      </c>
      <c r="AN111" s="37"/>
      <c r="AO111" s="37"/>
      <c r="AP111" s="37" t="s">
        <v>63</v>
      </c>
      <c r="AQ111" s="38"/>
      <c r="AR111" s="23"/>
      <c r="AS111" t="str">
        <f t="shared" si="1"/>
        <v/>
      </c>
    </row>
    <row r="112" spans="1:45" ht="64" x14ac:dyDescent="0.2">
      <c r="A112" s="103"/>
      <c r="B112" s="1">
        <v>56</v>
      </c>
      <c r="C112" s="1" t="s">
        <v>1065</v>
      </c>
      <c r="D112" s="1" t="s">
        <v>1066</v>
      </c>
      <c r="E112" s="2" t="s">
        <v>1067</v>
      </c>
      <c r="F112" s="1" t="s">
        <v>72</v>
      </c>
      <c r="G112" s="3">
        <v>2018</v>
      </c>
      <c r="H112" s="1" t="s">
        <v>98</v>
      </c>
      <c r="I112" s="35" t="s">
        <v>63</v>
      </c>
      <c r="J112" s="1"/>
      <c r="K112" s="35">
        <v>50</v>
      </c>
      <c r="L112" s="35" t="s">
        <v>55</v>
      </c>
      <c r="M112" s="1" t="s">
        <v>693</v>
      </c>
      <c r="N112" s="35">
        <v>9</v>
      </c>
      <c r="O112" s="1" t="s">
        <v>55</v>
      </c>
      <c r="P112" s="1" t="s">
        <v>58</v>
      </c>
      <c r="Q112" s="35" t="s">
        <v>63</v>
      </c>
      <c r="R112" s="35">
        <v>6</v>
      </c>
      <c r="S112" s="68" t="s">
        <v>1068</v>
      </c>
      <c r="T112" s="1" t="s">
        <v>55</v>
      </c>
      <c r="U112" s="35" t="s">
        <v>134</v>
      </c>
      <c r="V112" s="4" t="s">
        <v>1069</v>
      </c>
      <c r="W112" s="35" t="s">
        <v>63</v>
      </c>
      <c r="X112" s="1" t="s">
        <v>1070</v>
      </c>
      <c r="Y112" s="35" t="s">
        <v>63</v>
      </c>
      <c r="Z112" s="1" t="s">
        <v>1071</v>
      </c>
      <c r="AA112" s="35">
        <v>3</v>
      </c>
      <c r="AB112" s="25">
        <v>66</v>
      </c>
      <c r="AC112" s="1" t="s">
        <v>120</v>
      </c>
      <c r="AD112" s="1" t="s">
        <v>698</v>
      </c>
      <c r="AE112" s="1" t="s">
        <v>1072</v>
      </c>
      <c r="AF112" s="35" t="s">
        <v>63</v>
      </c>
      <c r="AG112" s="35" t="s">
        <v>63</v>
      </c>
      <c r="AH112" s="35" t="s">
        <v>59</v>
      </c>
      <c r="AI112" s="25" t="s">
        <v>59</v>
      </c>
      <c r="AJ112" s="49" t="s">
        <v>59</v>
      </c>
      <c r="AK112" s="35"/>
      <c r="AL112" s="35" t="s">
        <v>59</v>
      </c>
      <c r="AM112" s="35" t="s">
        <v>59</v>
      </c>
      <c r="AN112" s="5" t="s">
        <v>68</v>
      </c>
      <c r="AO112" s="35"/>
      <c r="AP112" s="35" t="s">
        <v>59</v>
      </c>
      <c r="AQ112" s="25" t="s">
        <v>94</v>
      </c>
      <c r="AR112" s="1"/>
      <c r="AS112" t="str">
        <f t="shared" si="1"/>
        <v/>
      </c>
    </row>
    <row r="113" spans="1:45" ht="144" x14ac:dyDescent="0.2">
      <c r="A113" s="103"/>
      <c r="B113" s="1">
        <v>73</v>
      </c>
      <c r="C113" s="1" t="s">
        <v>1073</v>
      </c>
      <c r="D113" s="1" t="s">
        <v>1074</v>
      </c>
      <c r="E113" s="1" t="s">
        <v>1075</v>
      </c>
      <c r="F113" s="1" t="s">
        <v>86</v>
      </c>
      <c r="G113" s="3">
        <v>2022</v>
      </c>
      <c r="H113" s="1" t="s">
        <v>236</v>
      </c>
      <c r="I113" s="35" t="s">
        <v>63</v>
      </c>
      <c r="J113" s="1"/>
      <c r="K113" s="35">
        <v>20</v>
      </c>
      <c r="L113" s="35" t="s">
        <v>55</v>
      </c>
      <c r="M113" s="1" t="s">
        <v>55</v>
      </c>
      <c r="N113" s="35">
        <v>51</v>
      </c>
      <c r="O113" s="1" t="s">
        <v>508</v>
      </c>
      <c r="P113" s="1" t="s">
        <v>58</v>
      </c>
      <c r="Q113" s="35" t="s">
        <v>63</v>
      </c>
      <c r="R113" s="35" t="s">
        <v>1076</v>
      </c>
      <c r="S113" s="1" t="s">
        <v>1077</v>
      </c>
      <c r="T113" s="1" t="s">
        <v>1078</v>
      </c>
      <c r="U113" s="35" t="s">
        <v>112</v>
      </c>
      <c r="V113" s="4" t="s">
        <v>1079</v>
      </c>
      <c r="W113" s="35" t="s">
        <v>63</v>
      </c>
      <c r="X113" s="1" t="s">
        <v>55</v>
      </c>
      <c r="Y113" s="35" t="s">
        <v>63</v>
      </c>
      <c r="Z113" s="1" t="s">
        <v>1080</v>
      </c>
      <c r="AA113" s="35">
        <v>10</v>
      </c>
      <c r="AB113" s="25">
        <v>0</v>
      </c>
      <c r="AC113" s="1" t="s">
        <v>120</v>
      </c>
      <c r="AD113" s="1" t="s">
        <v>1081</v>
      </c>
      <c r="AE113" s="1" t="s">
        <v>80</v>
      </c>
      <c r="AF113" s="35" t="s">
        <v>63</v>
      </c>
      <c r="AG113" s="35" t="s">
        <v>63</v>
      </c>
      <c r="AH113" s="35" t="s">
        <v>63</v>
      </c>
      <c r="AI113" s="25" t="s">
        <v>59</v>
      </c>
      <c r="AJ113" s="49" t="s">
        <v>59</v>
      </c>
      <c r="AK113" s="35"/>
      <c r="AL113" s="35" t="s">
        <v>59</v>
      </c>
      <c r="AM113" s="35" t="s">
        <v>59</v>
      </c>
      <c r="AN113" s="35" t="s">
        <v>68</v>
      </c>
      <c r="AO113" s="35"/>
      <c r="AP113" s="35" t="s">
        <v>59</v>
      </c>
      <c r="AQ113" s="25" t="s">
        <v>94</v>
      </c>
      <c r="AR113" s="1"/>
      <c r="AS113" t="str">
        <f t="shared" si="1"/>
        <v/>
      </c>
    </row>
    <row r="114" spans="1:45" ht="224" x14ac:dyDescent="0.2">
      <c r="A114" s="103"/>
      <c r="B114" s="1">
        <v>117</v>
      </c>
      <c r="C114" s="40" t="s">
        <v>1082</v>
      </c>
      <c r="D114" s="61" t="s">
        <v>1083</v>
      </c>
      <c r="E114" s="1" t="s">
        <v>1084</v>
      </c>
      <c r="F114" s="1" t="s">
        <v>1085</v>
      </c>
      <c r="G114" s="3">
        <v>2016</v>
      </c>
      <c r="H114" s="1" t="s">
        <v>54</v>
      </c>
      <c r="I114" s="35" t="s">
        <v>292</v>
      </c>
      <c r="J114" s="1" t="s">
        <v>1086</v>
      </c>
      <c r="K114" s="35">
        <v>50</v>
      </c>
      <c r="L114" s="35" t="s">
        <v>55</v>
      </c>
      <c r="M114" s="1" t="s">
        <v>1087</v>
      </c>
      <c r="N114" s="35">
        <v>10</v>
      </c>
      <c r="O114" s="1" t="s">
        <v>1088</v>
      </c>
      <c r="P114" s="40" t="s">
        <v>58</v>
      </c>
      <c r="Q114" s="35" t="s">
        <v>63</v>
      </c>
      <c r="R114" s="35">
        <v>13</v>
      </c>
      <c r="S114" s="1" t="s">
        <v>1089</v>
      </c>
      <c r="T114" s="1" t="s">
        <v>1090</v>
      </c>
      <c r="U114" s="35" t="s">
        <v>112</v>
      </c>
      <c r="V114" s="4" t="s">
        <v>1091</v>
      </c>
      <c r="W114" s="35" t="s">
        <v>63</v>
      </c>
      <c r="X114" s="1" t="s">
        <v>1092</v>
      </c>
      <c r="Y114" s="35" t="s">
        <v>63</v>
      </c>
      <c r="Z114" s="1" t="s">
        <v>1093</v>
      </c>
      <c r="AA114" s="35" t="s">
        <v>1094</v>
      </c>
      <c r="AB114" s="25">
        <v>0</v>
      </c>
      <c r="AC114" s="1" t="s">
        <v>65</v>
      </c>
      <c r="AD114" s="1" t="s">
        <v>1095</v>
      </c>
      <c r="AE114" s="1" t="s">
        <v>1096</v>
      </c>
      <c r="AF114" s="35" t="s">
        <v>63</v>
      </c>
      <c r="AG114" s="35" t="s">
        <v>63</v>
      </c>
      <c r="AH114" s="35" t="s">
        <v>59</v>
      </c>
      <c r="AI114" s="25" t="s">
        <v>59</v>
      </c>
      <c r="AJ114" s="49" t="s">
        <v>59</v>
      </c>
      <c r="AK114" s="35"/>
      <c r="AL114" s="35" t="s">
        <v>59</v>
      </c>
      <c r="AM114" s="35" t="s">
        <v>63</v>
      </c>
      <c r="AN114" s="35"/>
      <c r="AO114" s="35"/>
      <c r="AP114" s="35" t="s">
        <v>63</v>
      </c>
      <c r="AQ114" s="25"/>
      <c r="AR114" s="1"/>
      <c r="AS114" t="str">
        <f t="shared" si="1"/>
        <v/>
      </c>
    </row>
    <row r="115" spans="1:45" ht="112" x14ac:dyDescent="0.2">
      <c r="A115" s="103"/>
      <c r="B115" s="1">
        <v>123</v>
      </c>
      <c r="C115" s="1" t="s">
        <v>1097</v>
      </c>
      <c r="D115" s="1" t="s">
        <v>1098</v>
      </c>
      <c r="E115" s="1" t="s">
        <v>1099</v>
      </c>
      <c r="F115" s="1" t="s">
        <v>129</v>
      </c>
      <c r="G115" s="3">
        <v>2020</v>
      </c>
      <c r="H115" s="1" t="s">
        <v>54</v>
      </c>
      <c r="I115" s="35" t="s">
        <v>292</v>
      </c>
      <c r="J115" s="1" t="s">
        <v>1100</v>
      </c>
      <c r="K115" s="35">
        <v>80</v>
      </c>
      <c r="L115" s="35">
        <v>8</v>
      </c>
      <c r="M115" s="1" t="s">
        <v>1101</v>
      </c>
      <c r="N115" s="35" t="s">
        <v>1102</v>
      </c>
      <c r="O115" s="1" t="s">
        <v>1103</v>
      </c>
      <c r="P115" s="40" t="s">
        <v>58</v>
      </c>
      <c r="Q115" s="35" t="s">
        <v>59</v>
      </c>
      <c r="R115" s="35">
        <v>22</v>
      </c>
      <c r="S115" s="1" t="s">
        <v>1104</v>
      </c>
      <c r="T115" s="1" t="s">
        <v>150</v>
      </c>
      <c r="U115" s="35" t="s">
        <v>134</v>
      </c>
      <c r="V115" s="4" t="s">
        <v>706</v>
      </c>
      <c r="W115" s="35" t="s">
        <v>59</v>
      </c>
      <c r="X115" s="1" t="s">
        <v>55</v>
      </c>
      <c r="Y115" s="35" t="s">
        <v>63</v>
      </c>
      <c r="Z115" s="1" t="s">
        <v>1105</v>
      </c>
      <c r="AA115" s="35">
        <v>12.8</v>
      </c>
      <c r="AB115" s="25">
        <v>0</v>
      </c>
      <c r="AC115" s="40" t="s">
        <v>120</v>
      </c>
      <c r="AD115" s="1" t="s">
        <v>1106</v>
      </c>
      <c r="AE115" s="1" t="s">
        <v>1107</v>
      </c>
      <c r="AF115" s="35" t="s">
        <v>1108</v>
      </c>
      <c r="AG115" s="35" t="s">
        <v>63</v>
      </c>
      <c r="AH115" s="35" t="s">
        <v>59</v>
      </c>
      <c r="AI115" s="25" t="s">
        <v>59</v>
      </c>
      <c r="AJ115" s="49" t="s">
        <v>63</v>
      </c>
      <c r="AK115" s="34" t="s">
        <v>1109</v>
      </c>
      <c r="AL115" s="35" t="s">
        <v>59</v>
      </c>
      <c r="AM115" s="35" t="s">
        <v>63</v>
      </c>
      <c r="AN115" s="35"/>
      <c r="AO115" s="35"/>
      <c r="AP115" s="35" t="s">
        <v>63</v>
      </c>
      <c r="AR115" s="25" t="s">
        <v>1110</v>
      </c>
      <c r="AS115" t="str">
        <f t="shared" si="1"/>
        <v/>
      </c>
    </row>
    <row r="116" spans="1:45" ht="64" x14ac:dyDescent="0.2">
      <c r="A116" s="103"/>
      <c r="B116" s="1">
        <v>131</v>
      </c>
      <c r="C116" s="1" t="s">
        <v>1111</v>
      </c>
      <c r="D116" s="1" t="s">
        <v>1112</v>
      </c>
      <c r="E116" s="1" t="s">
        <v>1113</v>
      </c>
      <c r="F116" s="1" t="s">
        <v>1114</v>
      </c>
      <c r="G116" s="3">
        <v>2014</v>
      </c>
      <c r="H116" s="1" t="s">
        <v>54</v>
      </c>
      <c r="I116" s="35" t="s">
        <v>55</v>
      </c>
      <c r="J116" s="1"/>
      <c r="K116" s="35">
        <v>30</v>
      </c>
      <c r="L116" s="35">
        <v>6</v>
      </c>
      <c r="M116" s="1" t="s">
        <v>179</v>
      </c>
      <c r="N116" s="35">
        <v>52</v>
      </c>
      <c r="O116" s="1" t="s">
        <v>1115</v>
      </c>
      <c r="P116" s="40" t="s">
        <v>58</v>
      </c>
      <c r="Q116" s="35" t="s">
        <v>63</v>
      </c>
      <c r="R116" s="35" t="s">
        <v>1116</v>
      </c>
      <c r="S116" s="1" t="s">
        <v>1117</v>
      </c>
      <c r="T116" s="1" t="s">
        <v>55</v>
      </c>
      <c r="U116" s="35" t="s">
        <v>147</v>
      </c>
      <c r="V116" s="4" t="s">
        <v>1118</v>
      </c>
      <c r="W116" s="35" t="s">
        <v>59</v>
      </c>
      <c r="X116" s="1" t="s">
        <v>1119</v>
      </c>
      <c r="Y116" s="35" t="s">
        <v>63</v>
      </c>
      <c r="Z116" s="40" t="s">
        <v>1120</v>
      </c>
      <c r="AA116" s="35">
        <v>10</v>
      </c>
      <c r="AB116" s="25">
        <v>0</v>
      </c>
      <c r="AC116" s="1" t="s">
        <v>1121</v>
      </c>
      <c r="AD116" s="40" t="s">
        <v>66</v>
      </c>
      <c r="AE116" s="1" t="s">
        <v>1122</v>
      </c>
      <c r="AF116" s="35" t="s">
        <v>63</v>
      </c>
      <c r="AG116" s="35" t="s">
        <v>63</v>
      </c>
      <c r="AH116" s="35" t="s">
        <v>59</v>
      </c>
      <c r="AI116" s="25" t="s">
        <v>59</v>
      </c>
      <c r="AJ116" s="49" t="s">
        <v>1123</v>
      </c>
      <c r="AK116" s="34" t="s">
        <v>1124</v>
      </c>
      <c r="AL116" s="35" t="s">
        <v>59</v>
      </c>
      <c r="AM116" s="35" t="s">
        <v>63</v>
      </c>
      <c r="AN116" s="35"/>
      <c r="AO116" s="35"/>
      <c r="AP116" s="35" t="s">
        <v>59</v>
      </c>
      <c r="AQ116" s="25" t="s">
        <v>69</v>
      </c>
      <c r="AR116" s="1"/>
      <c r="AS116" t="str">
        <f t="shared" si="1"/>
        <v/>
      </c>
    </row>
    <row r="117" spans="1:45" ht="160" x14ac:dyDescent="0.2">
      <c r="A117" s="103"/>
      <c r="B117" s="1">
        <v>40</v>
      </c>
      <c r="C117" s="1" t="s">
        <v>1125</v>
      </c>
      <c r="D117" s="1" t="s">
        <v>1126</v>
      </c>
      <c r="E117" s="2" t="s">
        <v>1127</v>
      </c>
      <c r="F117" s="1" t="s">
        <v>318</v>
      </c>
      <c r="G117" s="3">
        <v>2016</v>
      </c>
      <c r="H117" s="1" t="s">
        <v>1128</v>
      </c>
      <c r="I117" s="35" t="s">
        <v>55</v>
      </c>
      <c r="J117" s="1"/>
      <c r="K117" s="35">
        <v>20</v>
      </c>
      <c r="L117" s="35" t="s">
        <v>55</v>
      </c>
      <c r="M117" s="1" t="s">
        <v>1129</v>
      </c>
      <c r="N117" s="35">
        <v>17</v>
      </c>
      <c r="O117" s="1" t="s">
        <v>55</v>
      </c>
      <c r="P117" s="40" t="s">
        <v>58</v>
      </c>
      <c r="Q117" s="35" t="s">
        <v>63</v>
      </c>
      <c r="R117" s="35">
        <v>18</v>
      </c>
      <c r="S117" s="1" t="s">
        <v>1130</v>
      </c>
      <c r="T117" s="1" t="s">
        <v>55</v>
      </c>
      <c r="U117" s="35" t="s">
        <v>112</v>
      </c>
      <c r="V117" s="4" t="s">
        <v>1131</v>
      </c>
      <c r="W117" s="35" t="s">
        <v>63</v>
      </c>
      <c r="X117" s="1" t="s">
        <v>655</v>
      </c>
      <c r="Y117" s="35" t="s">
        <v>63</v>
      </c>
      <c r="Z117" s="1" t="s">
        <v>150</v>
      </c>
      <c r="AA117" s="35">
        <v>10</v>
      </c>
      <c r="AB117" s="25">
        <v>0</v>
      </c>
      <c r="AC117" s="1" t="s">
        <v>1132</v>
      </c>
      <c r="AD117" s="1" t="s">
        <v>66</v>
      </c>
      <c r="AE117" s="1" t="s">
        <v>80</v>
      </c>
      <c r="AF117" s="35" t="s">
        <v>59</v>
      </c>
      <c r="AG117" s="35" t="s">
        <v>63</v>
      </c>
      <c r="AH117" s="35" t="s">
        <v>59</v>
      </c>
      <c r="AI117" s="25" t="s">
        <v>59</v>
      </c>
      <c r="AJ117" s="49" t="s">
        <v>59</v>
      </c>
      <c r="AK117" s="35"/>
      <c r="AL117" s="35" t="s">
        <v>59</v>
      </c>
      <c r="AM117" s="35" t="s">
        <v>59</v>
      </c>
      <c r="AN117" s="35" t="s">
        <v>68</v>
      </c>
      <c r="AO117" s="35"/>
      <c r="AP117" s="35" t="s">
        <v>59</v>
      </c>
      <c r="AQ117" s="25" t="s">
        <v>69</v>
      </c>
      <c r="AR117" s="1"/>
      <c r="AS117" t="str">
        <f t="shared" si="1"/>
        <v/>
      </c>
    </row>
    <row r="118" spans="1:45" ht="112" x14ac:dyDescent="0.2">
      <c r="A118" s="104"/>
      <c r="B118" s="16">
        <v>133</v>
      </c>
      <c r="C118" s="16" t="s">
        <v>1133</v>
      </c>
      <c r="D118" s="16" t="s">
        <v>1134</v>
      </c>
      <c r="E118" s="16" t="s">
        <v>1135</v>
      </c>
      <c r="F118" s="16" t="s">
        <v>184</v>
      </c>
      <c r="G118" s="17">
        <v>2012</v>
      </c>
      <c r="H118" s="16" t="s">
        <v>54</v>
      </c>
      <c r="I118" s="15" t="s">
        <v>55</v>
      </c>
      <c r="J118" s="16"/>
      <c r="K118" s="15">
        <v>80</v>
      </c>
      <c r="L118" s="15">
        <v>6</v>
      </c>
      <c r="M118" s="16" t="s">
        <v>1136</v>
      </c>
      <c r="N118" s="15">
        <v>60</v>
      </c>
      <c r="O118" s="16" t="s">
        <v>1137</v>
      </c>
      <c r="P118" s="67" t="s">
        <v>58</v>
      </c>
      <c r="Q118" s="15" t="s">
        <v>63</v>
      </c>
      <c r="R118" s="15" t="s">
        <v>1138</v>
      </c>
      <c r="S118" s="16" t="s">
        <v>1139</v>
      </c>
      <c r="T118" s="16" t="s">
        <v>63</v>
      </c>
      <c r="U118" s="15" t="s">
        <v>134</v>
      </c>
      <c r="V118" s="18" t="s">
        <v>1140</v>
      </c>
      <c r="W118" s="15" t="s">
        <v>63</v>
      </c>
      <c r="X118" s="16" t="s">
        <v>1141</v>
      </c>
      <c r="Y118" s="15" t="s">
        <v>63</v>
      </c>
      <c r="Z118" s="16" t="s">
        <v>1142</v>
      </c>
      <c r="AA118" s="15">
        <v>12.8</v>
      </c>
      <c r="AB118" s="27" t="s">
        <v>55</v>
      </c>
      <c r="AC118" s="16" t="s">
        <v>65</v>
      </c>
      <c r="AD118" s="16" t="s">
        <v>1143</v>
      </c>
      <c r="AE118" s="16" t="s">
        <v>1144</v>
      </c>
      <c r="AF118" s="15" t="s">
        <v>63</v>
      </c>
      <c r="AG118" s="15" t="s">
        <v>63</v>
      </c>
      <c r="AH118" s="15" t="s">
        <v>59</v>
      </c>
      <c r="AI118" s="27" t="s">
        <v>59</v>
      </c>
      <c r="AJ118" s="52" t="s">
        <v>59</v>
      </c>
      <c r="AK118" s="15"/>
      <c r="AL118" s="15" t="s">
        <v>59</v>
      </c>
      <c r="AM118" s="15" t="s">
        <v>63</v>
      </c>
      <c r="AN118" s="15"/>
      <c r="AO118" s="15"/>
      <c r="AP118" s="15" t="s">
        <v>59</v>
      </c>
      <c r="AQ118" s="27" t="s">
        <v>69</v>
      </c>
      <c r="AR118" s="1"/>
      <c r="AS118" t="str">
        <f t="shared" si="1"/>
        <v/>
      </c>
    </row>
    <row r="119" spans="1:45" ht="48" x14ac:dyDescent="0.2">
      <c r="A119" s="105" t="s">
        <v>1145</v>
      </c>
      <c r="B119" s="42">
        <v>4</v>
      </c>
      <c r="C119" s="42" t="s">
        <v>1146</v>
      </c>
      <c r="D119" s="42" t="s">
        <v>1147</v>
      </c>
      <c r="E119" s="43" t="s">
        <v>1148</v>
      </c>
      <c r="F119" s="42" t="s">
        <v>208</v>
      </c>
      <c r="G119" s="44">
        <v>2021</v>
      </c>
      <c r="H119" s="42" t="s">
        <v>236</v>
      </c>
      <c r="I119" s="46" t="s">
        <v>63</v>
      </c>
      <c r="J119" s="42"/>
      <c r="K119" s="46">
        <v>20</v>
      </c>
      <c r="L119" s="46" t="s">
        <v>55</v>
      </c>
      <c r="M119" s="42" t="s">
        <v>55</v>
      </c>
      <c r="N119" s="46">
        <v>51</v>
      </c>
      <c r="O119" s="42" t="s">
        <v>55</v>
      </c>
      <c r="P119" s="42" t="s">
        <v>55</v>
      </c>
      <c r="Q119" s="46" t="s">
        <v>55</v>
      </c>
      <c r="R119" s="46" t="s">
        <v>1149</v>
      </c>
      <c r="S119" s="42" t="s">
        <v>1150</v>
      </c>
      <c r="T119" s="42" t="s">
        <v>55</v>
      </c>
      <c r="U119" s="46" t="s">
        <v>55</v>
      </c>
      <c r="V119" s="45" t="s">
        <v>1151</v>
      </c>
      <c r="W119" s="46" t="s">
        <v>63</v>
      </c>
      <c r="X119" s="42" t="s">
        <v>479</v>
      </c>
      <c r="Y119" s="46" t="s">
        <v>59</v>
      </c>
      <c r="Z119" s="42"/>
      <c r="AA119" s="46">
        <v>5</v>
      </c>
      <c r="AB119" s="47">
        <v>50</v>
      </c>
      <c r="AC119" s="42" t="s">
        <v>1152</v>
      </c>
      <c r="AD119" s="42" t="s">
        <v>66</v>
      </c>
      <c r="AE119" s="42" t="s">
        <v>67</v>
      </c>
      <c r="AF119" s="46" t="s">
        <v>59</v>
      </c>
      <c r="AG119" s="46" t="s">
        <v>59</v>
      </c>
      <c r="AH119" s="46" t="s">
        <v>59</v>
      </c>
      <c r="AI119" s="47" t="s">
        <v>59</v>
      </c>
      <c r="AJ119" s="53" t="s">
        <v>59</v>
      </c>
      <c r="AK119" s="46"/>
      <c r="AL119" s="46" t="s">
        <v>59</v>
      </c>
      <c r="AM119" s="46" t="s">
        <v>59</v>
      </c>
      <c r="AN119" s="46" t="s">
        <v>68</v>
      </c>
      <c r="AO119" s="46"/>
      <c r="AP119" s="46" t="s">
        <v>59</v>
      </c>
      <c r="AQ119" s="47" t="s">
        <v>81</v>
      </c>
      <c r="AR119" s="1"/>
      <c r="AS119" t="str">
        <f t="shared" si="1"/>
        <v/>
      </c>
    </row>
    <row r="120" spans="1:45" ht="96" x14ac:dyDescent="0.2">
      <c r="A120" s="106"/>
      <c r="B120" s="114">
        <v>71</v>
      </c>
      <c r="C120" s="114" t="s">
        <v>1153</v>
      </c>
      <c r="D120" s="114" t="s">
        <v>1154</v>
      </c>
      <c r="E120" s="126" t="s">
        <v>1155</v>
      </c>
      <c r="F120" s="114" t="s">
        <v>1156</v>
      </c>
      <c r="G120" s="122">
        <v>2015</v>
      </c>
      <c r="H120" s="1" t="s">
        <v>448</v>
      </c>
      <c r="I120" s="35" t="s">
        <v>63</v>
      </c>
      <c r="J120" s="1"/>
      <c r="K120" s="35">
        <v>204.8</v>
      </c>
      <c r="L120" s="35" t="s">
        <v>55</v>
      </c>
      <c r="M120" s="1" t="s">
        <v>55</v>
      </c>
      <c r="N120" s="35">
        <v>19</v>
      </c>
      <c r="O120" s="1" t="s">
        <v>55</v>
      </c>
      <c r="P120" s="1" t="s">
        <v>55</v>
      </c>
      <c r="Q120" s="35" t="s">
        <v>55</v>
      </c>
      <c r="R120" s="35" t="s">
        <v>1157</v>
      </c>
      <c r="S120" s="1" t="s">
        <v>1158</v>
      </c>
      <c r="T120" s="1" t="s">
        <v>55</v>
      </c>
      <c r="U120" s="35" t="s">
        <v>222</v>
      </c>
      <c r="V120" s="115" t="s">
        <v>1159</v>
      </c>
      <c r="W120" s="92" t="s">
        <v>63</v>
      </c>
      <c r="X120" s="114" t="s">
        <v>55</v>
      </c>
      <c r="Y120" s="35" t="s">
        <v>63</v>
      </c>
      <c r="Z120" s="1" t="s">
        <v>1160</v>
      </c>
      <c r="AA120" s="35" t="s">
        <v>55</v>
      </c>
      <c r="AB120" s="25" t="s">
        <v>55</v>
      </c>
      <c r="AC120" s="114" t="s">
        <v>1161</v>
      </c>
      <c r="AD120" s="114" t="s">
        <v>66</v>
      </c>
      <c r="AE120" s="114" t="s">
        <v>1162</v>
      </c>
      <c r="AF120" s="92" t="s">
        <v>59</v>
      </c>
      <c r="AG120" s="92" t="s">
        <v>63</v>
      </c>
      <c r="AH120" s="92" t="s">
        <v>63</v>
      </c>
      <c r="AI120" s="91" t="s">
        <v>59</v>
      </c>
      <c r="AJ120" s="95" t="s">
        <v>59</v>
      </c>
      <c r="AK120" s="92"/>
      <c r="AL120" s="92" t="s">
        <v>59</v>
      </c>
      <c r="AM120" s="92" t="s">
        <v>59</v>
      </c>
      <c r="AN120" s="92" t="s">
        <v>93</v>
      </c>
      <c r="AO120" s="35" t="s">
        <v>1163</v>
      </c>
      <c r="AP120" s="92" t="s">
        <v>59</v>
      </c>
      <c r="AQ120" s="91" t="s">
        <v>81</v>
      </c>
      <c r="AR120" s="1"/>
      <c r="AS120" t="str">
        <f t="shared" si="1"/>
        <v/>
      </c>
    </row>
    <row r="121" spans="1:45" ht="48" x14ac:dyDescent="0.2">
      <c r="A121" s="106"/>
      <c r="B121" s="114"/>
      <c r="C121" s="114"/>
      <c r="D121" s="114"/>
      <c r="E121" s="114"/>
      <c r="F121" s="114"/>
      <c r="G121" s="122"/>
      <c r="H121" s="1" t="s">
        <v>1164</v>
      </c>
      <c r="I121" s="35" t="s">
        <v>292</v>
      </c>
      <c r="J121" s="1" t="s">
        <v>1165</v>
      </c>
      <c r="K121" s="35">
        <v>64</v>
      </c>
      <c r="L121" s="35" t="s">
        <v>55</v>
      </c>
      <c r="M121" s="1" t="s">
        <v>55</v>
      </c>
      <c r="N121" s="35">
        <v>17</v>
      </c>
      <c r="O121" s="1" t="s">
        <v>55</v>
      </c>
      <c r="P121" s="1" t="s">
        <v>55</v>
      </c>
      <c r="Q121" s="35" t="s">
        <v>55</v>
      </c>
      <c r="R121" s="35">
        <v>5</v>
      </c>
      <c r="S121" s="1" t="s">
        <v>1166</v>
      </c>
      <c r="T121" s="1" t="s">
        <v>55</v>
      </c>
      <c r="U121" s="35" t="s">
        <v>112</v>
      </c>
      <c r="V121" s="115"/>
      <c r="W121" s="92"/>
      <c r="X121" s="114"/>
      <c r="Y121" s="35" t="s">
        <v>63</v>
      </c>
      <c r="Z121" s="1" t="s">
        <v>1167</v>
      </c>
      <c r="AA121" s="35" t="s">
        <v>55</v>
      </c>
      <c r="AB121" s="25" t="s">
        <v>55</v>
      </c>
      <c r="AC121" s="114"/>
      <c r="AD121" s="114"/>
      <c r="AE121" s="114"/>
      <c r="AF121" s="92"/>
      <c r="AG121" s="92"/>
      <c r="AH121" s="92"/>
      <c r="AI121" s="91"/>
      <c r="AJ121" s="95"/>
      <c r="AK121" s="92"/>
      <c r="AL121" s="92"/>
      <c r="AM121" s="92"/>
      <c r="AN121" s="92"/>
      <c r="AO121" s="35"/>
      <c r="AP121" s="92"/>
      <c r="AQ121" s="91"/>
      <c r="AR121" s="1"/>
      <c r="AS121" t="str">
        <f t="shared" si="1"/>
        <v/>
      </c>
    </row>
    <row r="122" spans="1:45" ht="32" x14ac:dyDescent="0.2">
      <c r="A122" s="106"/>
      <c r="B122" s="114"/>
      <c r="C122" s="114"/>
      <c r="D122" s="114"/>
      <c r="E122" s="114"/>
      <c r="F122" s="114"/>
      <c r="G122" s="122"/>
      <c r="H122" s="1" t="s">
        <v>1168</v>
      </c>
      <c r="I122" s="35" t="s">
        <v>292</v>
      </c>
      <c r="J122" s="1" t="s">
        <v>1165</v>
      </c>
      <c r="K122" s="35">
        <v>10</v>
      </c>
      <c r="L122" s="35" t="s">
        <v>55</v>
      </c>
      <c r="M122" s="1" t="s">
        <v>55</v>
      </c>
      <c r="N122" s="35">
        <v>13</v>
      </c>
      <c r="O122" s="1" t="s">
        <v>55</v>
      </c>
      <c r="P122" s="1" t="s">
        <v>55</v>
      </c>
      <c r="Q122" s="35" t="s">
        <v>55</v>
      </c>
      <c r="R122" s="35" t="s">
        <v>1169</v>
      </c>
      <c r="S122" s="1" t="s">
        <v>1170</v>
      </c>
      <c r="T122" s="1" t="s">
        <v>55</v>
      </c>
      <c r="U122" s="35" t="s">
        <v>134</v>
      </c>
      <c r="V122" s="115"/>
      <c r="W122" s="92"/>
      <c r="X122" s="114"/>
      <c r="Y122" s="35" t="s">
        <v>63</v>
      </c>
      <c r="Z122" s="1" t="s">
        <v>1171</v>
      </c>
      <c r="AA122" s="35">
        <v>0.7</v>
      </c>
      <c r="AB122" s="25">
        <v>0</v>
      </c>
      <c r="AC122" s="114"/>
      <c r="AD122" s="114"/>
      <c r="AE122" s="114"/>
      <c r="AF122" s="92"/>
      <c r="AG122" s="92"/>
      <c r="AH122" s="92"/>
      <c r="AI122" s="91"/>
      <c r="AJ122" s="95"/>
      <c r="AK122" s="92"/>
      <c r="AL122" s="92"/>
      <c r="AM122" s="92"/>
      <c r="AN122" s="92"/>
      <c r="AO122" s="35"/>
      <c r="AP122" s="92"/>
      <c r="AQ122" s="91"/>
      <c r="AR122" s="1"/>
      <c r="AS122" t="str">
        <f t="shared" si="1"/>
        <v/>
      </c>
    </row>
    <row r="123" spans="1:45" ht="64" x14ac:dyDescent="0.2">
      <c r="A123" s="106"/>
      <c r="B123" s="114">
        <v>28</v>
      </c>
      <c r="C123" s="114" t="s">
        <v>1172</v>
      </c>
      <c r="D123" s="114" t="s">
        <v>1173</v>
      </c>
      <c r="E123" s="126" t="s">
        <v>1174</v>
      </c>
      <c r="F123" s="114" t="s">
        <v>290</v>
      </c>
      <c r="G123" s="122">
        <v>2022</v>
      </c>
      <c r="H123" s="1" t="s">
        <v>1175</v>
      </c>
      <c r="I123" s="35" t="s">
        <v>63</v>
      </c>
      <c r="J123" s="1"/>
      <c r="K123" s="35">
        <v>25</v>
      </c>
      <c r="L123" s="35" t="s">
        <v>55</v>
      </c>
      <c r="M123" s="1" t="s">
        <v>55</v>
      </c>
      <c r="N123" s="35">
        <v>8</v>
      </c>
      <c r="O123" s="1" t="s">
        <v>55</v>
      </c>
      <c r="P123" s="1" t="s">
        <v>55</v>
      </c>
      <c r="Q123" s="35" t="s">
        <v>55</v>
      </c>
      <c r="R123" s="35">
        <v>10</v>
      </c>
      <c r="S123" s="1" t="s">
        <v>1176</v>
      </c>
      <c r="T123" s="1" t="s">
        <v>55</v>
      </c>
      <c r="U123" s="35" t="s">
        <v>55</v>
      </c>
      <c r="V123" s="115" t="s">
        <v>1177</v>
      </c>
      <c r="W123" s="92" t="s">
        <v>63</v>
      </c>
      <c r="X123" s="114" t="s">
        <v>1178</v>
      </c>
      <c r="Y123" s="92" t="s">
        <v>59</v>
      </c>
      <c r="Z123" s="114"/>
      <c r="AA123" s="92">
        <v>4</v>
      </c>
      <c r="AB123" s="91">
        <v>90</v>
      </c>
      <c r="AC123" s="114" t="s">
        <v>502</v>
      </c>
      <c r="AD123" s="114" t="s">
        <v>1179</v>
      </c>
      <c r="AE123" s="1" t="s">
        <v>241</v>
      </c>
      <c r="AF123" s="35" t="s">
        <v>59</v>
      </c>
      <c r="AG123" s="35" t="s">
        <v>63</v>
      </c>
      <c r="AH123" s="35" t="s">
        <v>63</v>
      </c>
      <c r="AI123" s="25" t="s">
        <v>59</v>
      </c>
      <c r="AJ123" s="49" t="s">
        <v>59</v>
      </c>
      <c r="AK123" s="92"/>
      <c r="AL123" s="35" t="s">
        <v>59</v>
      </c>
      <c r="AM123" s="92" t="s">
        <v>59</v>
      </c>
      <c r="AN123" s="92" t="s">
        <v>68</v>
      </c>
      <c r="AO123" s="35"/>
      <c r="AP123" s="92" t="s">
        <v>59</v>
      </c>
      <c r="AQ123" s="91" t="s">
        <v>81</v>
      </c>
      <c r="AR123" s="1"/>
      <c r="AS123" t="str">
        <f t="shared" si="1"/>
        <v/>
      </c>
    </row>
    <row r="124" spans="1:45" x14ac:dyDescent="0.2">
      <c r="A124" s="106"/>
      <c r="B124" s="114"/>
      <c r="C124" s="114"/>
      <c r="D124" s="114"/>
      <c r="E124" s="126"/>
      <c r="F124" s="114"/>
      <c r="G124" s="122"/>
      <c r="H124" s="1" t="s">
        <v>303</v>
      </c>
      <c r="I124" s="35" t="s">
        <v>63</v>
      </c>
      <c r="J124" s="1"/>
      <c r="K124" s="35">
        <v>32</v>
      </c>
      <c r="L124" s="35" t="s">
        <v>55</v>
      </c>
      <c r="M124" s="1" t="s">
        <v>55</v>
      </c>
      <c r="N124" s="35">
        <v>4</v>
      </c>
      <c r="O124" s="1" t="s">
        <v>55</v>
      </c>
      <c r="P124" s="1" t="s">
        <v>55</v>
      </c>
      <c r="Q124" s="35" t="s">
        <v>55</v>
      </c>
      <c r="R124" s="35">
        <v>4</v>
      </c>
      <c r="S124" s="1" t="s">
        <v>1180</v>
      </c>
      <c r="T124" s="1" t="s">
        <v>55</v>
      </c>
      <c r="U124" s="35" t="s">
        <v>134</v>
      </c>
      <c r="V124" s="115"/>
      <c r="W124" s="92"/>
      <c r="X124" s="114"/>
      <c r="Y124" s="92"/>
      <c r="Z124" s="114"/>
      <c r="AA124" s="92"/>
      <c r="AB124" s="91"/>
      <c r="AC124" s="114"/>
      <c r="AD124" s="114"/>
      <c r="AE124" s="1" t="s">
        <v>67</v>
      </c>
      <c r="AF124" s="35" t="s">
        <v>59</v>
      </c>
      <c r="AG124" s="35" t="s">
        <v>63</v>
      </c>
      <c r="AH124" s="35" t="s">
        <v>63</v>
      </c>
      <c r="AI124" s="25" t="s">
        <v>59</v>
      </c>
      <c r="AJ124" s="49" t="s">
        <v>59</v>
      </c>
      <c r="AK124" s="92"/>
      <c r="AL124" s="35" t="s">
        <v>59</v>
      </c>
      <c r="AM124" s="92"/>
      <c r="AN124" s="92"/>
      <c r="AO124" s="35"/>
      <c r="AP124" s="92"/>
      <c r="AQ124" s="91"/>
      <c r="AR124" s="1"/>
      <c r="AS124" t="str">
        <f t="shared" si="1"/>
        <v/>
      </c>
    </row>
    <row r="125" spans="1:45" ht="48" x14ac:dyDescent="0.2">
      <c r="A125" s="106"/>
      <c r="B125" s="114"/>
      <c r="C125" s="114"/>
      <c r="D125" s="114"/>
      <c r="E125" s="126"/>
      <c r="F125" s="114"/>
      <c r="G125" s="122"/>
      <c r="H125" s="1" t="s">
        <v>109</v>
      </c>
      <c r="I125" s="35" t="s">
        <v>63</v>
      </c>
      <c r="J125" s="1"/>
      <c r="K125" s="35">
        <v>100</v>
      </c>
      <c r="L125" s="35" t="s">
        <v>55</v>
      </c>
      <c r="M125" s="1" t="s">
        <v>55</v>
      </c>
      <c r="N125" s="35">
        <v>9</v>
      </c>
      <c r="O125" s="1" t="s">
        <v>55</v>
      </c>
      <c r="P125" s="1" t="s">
        <v>55</v>
      </c>
      <c r="Q125" s="35" t="s">
        <v>55</v>
      </c>
      <c r="R125" s="35">
        <v>11</v>
      </c>
      <c r="S125" s="1" t="s">
        <v>1181</v>
      </c>
      <c r="T125" s="1" t="s">
        <v>55</v>
      </c>
      <c r="U125" s="35" t="s">
        <v>112</v>
      </c>
      <c r="V125" s="115"/>
      <c r="W125" s="92"/>
      <c r="X125" s="114"/>
      <c r="Y125" s="92"/>
      <c r="Z125" s="114"/>
      <c r="AA125" s="92"/>
      <c r="AB125" s="91"/>
      <c r="AC125" s="114"/>
      <c r="AD125" s="114"/>
      <c r="AE125" s="1" t="s">
        <v>80</v>
      </c>
      <c r="AF125" s="35" t="s">
        <v>59</v>
      </c>
      <c r="AG125" s="35" t="s">
        <v>63</v>
      </c>
      <c r="AH125" s="35" t="s">
        <v>63</v>
      </c>
      <c r="AI125" s="25" t="s">
        <v>59</v>
      </c>
      <c r="AJ125" s="49" t="s">
        <v>59</v>
      </c>
      <c r="AK125" s="92"/>
      <c r="AL125" s="35" t="s">
        <v>59</v>
      </c>
      <c r="AM125" s="92"/>
      <c r="AN125" s="92"/>
      <c r="AO125" s="35"/>
      <c r="AP125" s="92"/>
      <c r="AQ125" s="91"/>
      <c r="AR125" s="1"/>
      <c r="AS125" t="str">
        <f t="shared" si="1"/>
        <v/>
      </c>
    </row>
    <row r="126" spans="1:45" x14ac:dyDescent="0.2">
      <c r="A126" s="106"/>
      <c r="B126" s="114">
        <v>84</v>
      </c>
      <c r="C126" s="114" t="s">
        <v>1182</v>
      </c>
      <c r="D126" s="114" t="s">
        <v>1183</v>
      </c>
      <c r="E126" s="126" t="s">
        <v>1184</v>
      </c>
      <c r="F126" s="114" t="s">
        <v>472</v>
      </c>
      <c r="G126" s="122">
        <v>2020</v>
      </c>
      <c r="H126" s="1" t="s">
        <v>303</v>
      </c>
      <c r="I126" s="35" t="s">
        <v>63</v>
      </c>
      <c r="J126" s="1"/>
      <c r="K126" s="35">
        <v>30</v>
      </c>
      <c r="L126" s="35" t="s">
        <v>55</v>
      </c>
      <c r="M126" s="1" t="s">
        <v>55</v>
      </c>
      <c r="N126" s="35">
        <v>15</v>
      </c>
      <c r="O126" s="1" t="s">
        <v>55</v>
      </c>
      <c r="P126" s="1" t="s">
        <v>58</v>
      </c>
      <c r="Q126" s="35" t="s">
        <v>59</v>
      </c>
      <c r="R126" s="35">
        <v>5</v>
      </c>
      <c r="S126" s="1" t="s">
        <v>1185</v>
      </c>
      <c r="T126" s="1" t="s">
        <v>55</v>
      </c>
      <c r="U126" s="35" t="s">
        <v>55</v>
      </c>
      <c r="V126" s="115" t="s">
        <v>311</v>
      </c>
      <c r="W126" s="92" t="s">
        <v>59</v>
      </c>
      <c r="X126" s="114" t="s">
        <v>55</v>
      </c>
      <c r="Y126" s="92" t="s">
        <v>59</v>
      </c>
      <c r="Z126" s="114"/>
      <c r="AA126" s="92">
        <v>3</v>
      </c>
      <c r="AB126" s="91">
        <v>0</v>
      </c>
      <c r="AC126" s="114" t="s">
        <v>55</v>
      </c>
      <c r="AD126" s="114" t="s">
        <v>1186</v>
      </c>
      <c r="AE126" s="114" t="s">
        <v>332</v>
      </c>
      <c r="AF126" s="92" t="s">
        <v>59</v>
      </c>
      <c r="AG126" s="92" t="s">
        <v>63</v>
      </c>
      <c r="AH126" s="92" t="s">
        <v>63</v>
      </c>
      <c r="AI126" s="91" t="s">
        <v>59</v>
      </c>
      <c r="AJ126" s="95" t="s">
        <v>59</v>
      </c>
      <c r="AK126" s="92"/>
      <c r="AL126" s="92" t="s">
        <v>59</v>
      </c>
      <c r="AM126" s="92" t="s">
        <v>63</v>
      </c>
      <c r="AN126" s="92"/>
      <c r="AO126" s="35"/>
      <c r="AP126" s="92" t="s">
        <v>59</v>
      </c>
      <c r="AQ126" s="91" t="s">
        <v>81</v>
      </c>
      <c r="AR126" s="1"/>
      <c r="AS126" t="str">
        <f t="shared" si="1"/>
        <v/>
      </c>
    </row>
    <row r="127" spans="1:45" ht="48" x14ac:dyDescent="0.2">
      <c r="A127" s="106"/>
      <c r="B127" s="114"/>
      <c r="C127" s="114"/>
      <c r="D127" s="114"/>
      <c r="E127" s="126"/>
      <c r="F127" s="114"/>
      <c r="G127" s="122"/>
      <c r="H127" s="1" t="s">
        <v>124</v>
      </c>
      <c r="I127" s="35" t="s">
        <v>63</v>
      </c>
      <c r="J127" s="1"/>
      <c r="K127" s="35">
        <v>50</v>
      </c>
      <c r="L127" s="35" t="s">
        <v>55</v>
      </c>
      <c r="M127" s="1" t="s">
        <v>55</v>
      </c>
      <c r="N127" s="35">
        <v>4</v>
      </c>
      <c r="O127" s="1" t="s">
        <v>55</v>
      </c>
      <c r="P127" s="1" t="s">
        <v>55</v>
      </c>
      <c r="Q127" s="35" t="s">
        <v>59</v>
      </c>
      <c r="R127" s="35">
        <v>7</v>
      </c>
      <c r="S127" s="1" t="s">
        <v>1187</v>
      </c>
      <c r="T127" s="1" t="s">
        <v>55</v>
      </c>
      <c r="U127" s="35" t="s">
        <v>55</v>
      </c>
      <c r="V127" s="115"/>
      <c r="W127" s="92"/>
      <c r="X127" s="114"/>
      <c r="Y127" s="92"/>
      <c r="Z127" s="114"/>
      <c r="AA127" s="92"/>
      <c r="AB127" s="91"/>
      <c r="AC127" s="114"/>
      <c r="AD127" s="114"/>
      <c r="AE127" s="114"/>
      <c r="AF127" s="92"/>
      <c r="AG127" s="92"/>
      <c r="AH127" s="92"/>
      <c r="AI127" s="91"/>
      <c r="AJ127" s="95"/>
      <c r="AK127" s="92"/>
      <c r="AL127" s="92"/>
      <c r="AM127" s="92"/>
      <c r="AN127" s="92"/>
      <c r="AO127" s="35"/>
      <c r="AP127" s="92"/>
      <c r="AQ127" s="91"/>
      <c r="AR127" s="1"/>
      <c r="AS127" t="str">
        <f t="shared" si="1"/>
        <v/>
      </c>
    </row>
    <row r="128" spans="1:45" ht="64" x14ac:dyDescent="0.2">
      <c r="A128" s="106"/>
      <c r="B128" s="114"/>
      <c r="C128" s="114"/>
      <c r="D128" s="114"/>
      <c r="E128" s="126"/>
      <c r="F128" s="114"/>
      <c r="G128" s="122"/>
      <c r="H128" s="1" t="s">
        <v>98</v>
      </c>
      <c r="I128" s="35" t="s">
        <v>63</v>
      </c>
      <c r="J128" s="1"/>
      <c r="K128" s="35" t="s">
        <v>1188</v>
      </c>
      <c r="L128" s="35" t="s">
        <v>55</v>
      </c>
      <c r="M128" s="1" t="s">
        <v>55</v>
      </c>
      <c r="N128" s="35">
        <v>9</v>
      </c>
      <c r="O128" s="1" t="s">
        <v>55</v>
      </c>
      <c r="P128" s="1" t="s">
        <v>55</v>
      </c>
      <c r="Q128" s="35" t="s">
        <v>63</v>
      </c>
      <c r="R128" s="35">
        <v>6</v>
      </c>
      <c r="S128" s="1" t="s">
        <v>1189</v>
      </c>
      <c r="T128" s="1" t="s">
        <v>55</v>
      </c>
      <c r="U128" s="35" t="s">
        <v>134</v>
      </c>
      <c r="V128" s="115"/>
      <c r="W128" s="92"/>
      <c r="X128" s="114"/>
      <c r="Y128" s="92"/>
      <c r="Z128" s="114"/>
      <c r="AA128" s="92"/>
      <c r="AB128" s="91"/>
      <c r="AC128" s="114"/>
      <c r="AD128" s="114"/>
      <c r="AE128" s="114"/>
      <c r="AF128" s="92"/>
      <c r="AG128" s="92"/>
      <c r="AH128" s="92"/>
      <c r="AI128" s="91"/>
      <c r="AJ128" s="95"/>
      <c r="AK128" s="92"/>
      <c r="AL128" s="92"/>
      <c r="AM128" s="92"/>
      <c r="AN128" s="92"/>
      <c r="AO128" s="35"/>
      <c r="AP128" s="92"/>
      <c r="AQ128" s="91"/>
      <c r="AR128" s="1"/>
      <c r="AS128" t="str">
        <f t="shared" si="1"/>
        <v/>
      </c>
    </row>
    <row r="129" spans="1:45" ht="272" x14ac:dyDescent="0.2">
      <c r="A129" s="106"/>
      <c r="B129" s="1">
        <v>21</v>
      </c>
      <c r="C129" s="1" t="s">
        <v>1190</v>
      </c>
      <c r="D129" s="1" t="s">
        <v>1191</v>
      </c>
      <c r="E129" s="2" t="s">
        <v>1192</v>
      </c>
      <c r="F129" s="1" t="s">
        <v>690</v>
      </c>
      <c r="G129" s="3">
        <v>2018</v>
      </c>
      <c r="H129" s="1" t="s">
        <v>54</v>
      </c>
      <c r="I129" s="35" t="s">
        <v>55</v>
      </c>
      <c r="J129" s="1"/>
      <c r="K129" s="35">
        <v>100</v>
      </c>
      <c r="L129" s="35" t="s">
        <v>55</v>
      </c>
      <c r="M129" s="1" t="s">
        <v>1193</v>
      </c>
      <c r="N129" s="35">
        <v>152</v>
      </c>
      <c r="O129" s="1" t="s">
        <v>1194</v>
      </c>
      <c r="P129" s="1" t="s">
        <v>58</v>
      </c>
      <c r="Q129" s="35" t="s">
        <v>55</v>
      </c>
      <c r="R129" s="35" t="s">
        <v>1195</v>
      </c>
      <c r="S129" s="1" t="s">
        <v>1196</v>
      </c>
      <c r="T129" s="40" t="s">
        <v>150</v>
      </c>
      <c r="U129" s="35" t="s">
        <v>147</v>
      </c>
      <c r="V129" s="4" t="s">
        <v>1197</v>
      </c>
      <c r="W129" s="35" t="s">
        <v>63</v>
      </c>
      <c r="X129" s="1" t="s">
        <v>55</v>
      </c>
      <c r="Y129" s="35" t="s">
        <v>63</v>
      </c>
      <c r="Z129" s="1" t="s">
        <v>1198</v>
      </c>
      <c r="AA129" s="35">
        <v>10</v>
      </c>
      <c r="AB129" s="25">
        <v>0</v>
      </c>
      <c r="AC129" s="1" t="s">
        <v>1199</v>
      </c>
      <c r="AD129" s="1" t="s">
        <v>66</v>
      </c>
      <c r="AE129" s="1" t="s">
        <v>80</v>
      </c>
      <c r="AF129" s="35" t="s">
        <v>59</v>
      </c>
      <c r="AG129" s="35" t="s">
        <v>59</v>
      </c>
      <c r="AH129" s="35" t="s">
        <v>1200</v>
      </c>
      <c r="AI129" s="25" t="s">
        <v>59</v>
      </c>
      <c r="AJ129" s="49" t="s">
        <v>59</v>
      </c>
      <c r="AK129" s="35"/>
      <c r="AL129" s="35" t="s">
        <v>59</v>
      </c>
      <c r="AM129" s="35" t="s">
        <v>63</v>
      </c>
      <c r="AN129" s="35"/>
      <c r="AO129" s="35"/>
      <c r="AP129" s="35" t="s">
        <v>59</v>
      </c>
      <c r="AQ129" s="25" t="s">
        <v>69</v>
      </c>
      <c r="AR129" s="1"/>
      <c r="AS129" t="str">
        <f t="shared" si="1"/>
        <v/>
      </c>
    </row>
    <row r="130" spans="1:45" ht="144" x14ac:dyDescent="0.2">
      <c r="A130" s="106"/>
      <c r="B130" s="1">
        <v>32</v>
      </c>
      <c r="C130" s="1" t="s">
        <v>1201</v>
      </c>
      <c r="D130" s="1" t="s">
        <v>1202</v>
      </c>
      <c r="E130" s="2" t="s">
        <v>1203</v>
      </c>
      <c r="F130" s="1" t="s">
        <v>53</v>
      </c>
      <c r="G130" s="3">
        <v>2021</v>
      </c>
      <c r="H130" s="1" t="s">
        <v>54</v>
      </c>
      <c r="I130" s="35" t="s">
        <v>55</v>
      </c>
      <c r="J130" s="1"/>
      <c r="K130" s="35">
        <v>32</v>
      </c>
      <c r="L130" s="35" t="s">
        <v>55</v>
      </c>
      <c r="M130" s="1" t="s">
        <v>1204</v>
      </c>
      <c r="N130" s="35" t="s">
        <v>1205</v>
      </c>
      <c r="O130" s="1" t="s">
        <v>55</v>
      </c>
      <c r="P130" s="1" t="s">
        <v>58</v>
      </c>
      <c r="Q130" s="35" t="s">
        <v>59</v>
      </c>
      <c r="R130" s="35">
        <v>10</v>
      </c>
      <c r="S130" s="1" t="s">
        <v>1206</v>
      </c>
      <c r="T130" s="1" t="s">
        <v>55</v>
      </c>
      <c r="U130" s="35" t="s">
        <v>112</v>
      </c>
      <c r="V130" s="4" t="s">
        <v>706</v>
      </c>
      <c r="W130" s="35" t="s">
        <v>59</v>
      </c>
      <c r="X130" s="1" t="s">
        <v>104</v>
      </c>
      <c r="Y130" s="35">
        <v>216</v>
      </c>
      <c r="Z130" s="1" t="s">
        <v>55</v>
      </c>
      <c r="AA130" s="35">
        <v>10</v>
      </c>
      <c r="AB130" s="25">
        <v>40</v>
      </c>
      <c r="AC130" s="1" t="s">
        <v>55</v>
      </c>
      <c r="AD130" s="1" t="s">
        <v>1207</v>
      </c>
      <c r="AE130" s="1" t="s">
        <v>1208</v>
      </c>
      <c r="AF130" s="35" t="s">
        <v>63</v>
      </c>
      <c r="AG130" s="35" t="s">
        <v>59</v>
      </c>
      <c r="AH130" s="35" t="s">
        <v>1209</v>
      </c>
      <c r="AI130" s="25" t="s">
        <v>1209</v>
      </c>
      <c r="AJ130" s="49" t="s">
        <v>63</v>
      </c>
      <c r="AK130" s="35" t="s">
        <v>1210</v>
      </c>
      <c r="AL130" s="35" t="s">
        <v>59</v>
      </c>
      <c r="AM130" s="35" t="s">
        <v>1211</v>
      </c>
      <c r="AN130" s="35"/>
      <c r="AO130" s="35"/>
      <c r="AP130" s="35" t="s">
        <v>59</v>
      </c>
      <c r="AQ130" s="25" t="s">
        <v>69</v>
      </c>
      <c r="AR130" s="1"/>
      <c r="AS130" t="str">
        <f t="shared" si="1"/>
        <v/>
      </c>
    </row>
    <row r="131" spans="1:45" ht="64" x14ac:dyDescent="0.2">
      <c r="A131" s="106"/>
      <c r="B131" s="1">
        <v>20</v>
      </c>
      <c r="C131" s="1" t="s">
        <v>1212</v>
      </c>
      <c r="D131" s="1" t="s">
        <v>1213</v>
      </c>
      <c r="E131" s="2" t="s">
        <v>1214</v>
      </c>
      <c r="F131" s="1" t="s">
        <v>208</v>
      </c>
      <c r="G131" s="3">
        <v>2023</v>
      </c>
      <c r="H131" s="1" t="s">
        <v>219</v>
      </c>
      <c r="I131" s="35" t="s">
        <v>63</v>
      </c>
      <c r="J131" s="1"/>
      <c r="K131" s="35">
        <v>30</v>
      </c>
      <c r="L131" s="35" t="s">
        <v>55</v>
      </c>
      <c r="M131" s="1" t="s">
        <v>55</v>
      </c>
      <c r="N131" s="35">
        <v>10</v>
      </c>
      <c r="O131" s="1" t="s">
        <v>55</v>
      </c>
      <c r="P131" s="1" t="s">
        <v>55</v>
      </c>
      <c r="Q131" s="35" t="s">
        <v>55</v>
      </c>
      <c r="R131" s="35">
        <v>12</v>
      </c>
      <c r="S131" s="1" t="s">
        <v>1215</v>
      </c>
      <c r="T131" s="1" t="s">
        <v>55</v>
      </c>
      <c r="U131" s="35" t="s">
        <v>222</v>
      </c>
      <c r="V131" s="4" t="s">
        <v>1216</v>
      </c>
      <c r="W131" s="35" t="s">
        <v>59</v>
      </c>
      <c r="X131" s="1" t="s">
        <v>55</v>
      </c>
      <c r="Y131" s="35" t="s">
        <v>59</v>
      </c>
      <c r="Z131" s="1"/>
      <c r="AA131" s="35">
        <v>5</v>
      </c>
      <c r="AB131" s="25" t="s">
        <v>55</v>
      </c>
      <c r="AC131" s="1" t="s">
        <v>1217</v>
      </c>
      <c r="AD131" s="1" t="s">
        <v>1218</v>
      </c>
      <c r="AE131" s="1" t="s">
        <v>67</v>
      </c>
      <c r="AF131" s="35" t="s">
        <v>59</v>
      </c>
      <c r="AG131" s="35" t="s">
        <v>63</v>
      </c>
      <c r="AH131" s="35" t="s">
        <v>63</v>
      </c>
      <c r="AI131" s="25" t="s">
        <v>63</v>
      </c>
      <c r="AJ131" s="49" t="s">
        <v>59</v>
      </c>
      <c r="AK131" s="35"/>
      <c r="AL131" s="35" t="s">
        <v>59</v>
      </c>
      <c r="AM131" s="35" t="s">
        <v>59</v>
      </c>
      <c r="AN131" s="35" t="s">
        <v>68</v>
      </c>
      <c r="AO131" s="35"/>
      <c r="AP131" s="35" t="s">
        <v>59</v>
      </c>
      <c r="AQ131" s="25" t="s">
        <v>81</v>
      </c>
      <c r="AR131" s="1"/>
      <c r="AS131" t="str">
        <f t="shared" si="1"/>
        <v/>
      </c>
    </row>
    <row r="132" spans="1:45" ht="64" x14ac:dyDescent="0.2">
      <c r="A132" s="106"/>
      <c r="B132" s="1">
        <v>90</v>
      </c>
      <c r="C132" s="1" t="s">
        <v>1219</v>
      </c>
      <c r="D132" s="1" t="s">
        <v>1220</v>
      </c>
      <c r="E132" s="2" t="s">
        <v>1221</v>
      </c>
      <c r="F132" s="1" t="s">
        <v>116</v>
      </c>
      <c r="G132" s="3">
        <v>2020</v>
      </c>
      <c r="H132" s="1" t="s">
        <v>109</v>
      </c>
      <c r="I132" s="35" t="s">
        <v>63</v>
      </c>
      <c r="J132" s="1"/>
      <c r="K132" s="35">
        <v>10</v>
      </c>
      <c r="L132" s="35">
        <v>16</v>
      </c>
      <c r="M132" s="1" t="s">
        <v>55</v>
      </c>
      <c r="N132" s="35">
        <v>7</v>
      </c>
      <c r="O132" s="1" t="s">
        <v>55</v>
      </c>
      <c r="P132" s="1" t="s">
        <v>55</v>
      </c>
      <c r="Q132" s="35" t="s">
        <v>55</v>
      </c>
      <c r="R132" s="35">
        <v>9</v>
      </c>
      <c r="S132" s="1" t="s">
        <v>1222</v>
      </c>
      <c r="T132" s="1" t="s">
        <v>55</v>
      </c>
      <c r="U132" s="35" t="s">
        <v>55</v>
      </c>
      <c r="V132" s="4" t="s">
        <v>1025</v>
      </c>
      <c r="W132" s="35" t="s">
        <v>59</v>
      </c>
      <c r="X132" s="1" t="s">
        <v>55</v>
      </c>
      <c r="Y132" s="35" t="s">
        <v>59</v>
      </c>
      <c r="Z132" s="1"/>
      <c r="AA132" s="35">
        <v>0.5</v>
      </c>
      <c r="AB132" s="25">
        <v>50</v>
      </c>
      <c r="AC132" s="1" t="s">
        <v>1223</v>
      </c>
      <c r="AD132" s="1" t="s">
        <v>174</v>
      </c>
      <c r="AE132" s="1" t="s">
        <v>80</v>
      </c>
      <c r="AF132" s="35" t="s">
        <v>59</v>
      </c>
      <c r="AG132" s="35" t="s">
        <v>63</v>
      </c>
      <c r="AH132" s="35" t="s">
        <v>63</v>
      </c>
      <c r="AI132" s="25" t="s">
        <v>63</v>
      </c>
      <c r="AJ132" s="49" t="s">
        <v>59</v>
      </c>
      <c r="AK132" s="35"/>
      <c r="AL132" s="35" t="s">
        <v>59</v>
      </c>
      <c r="AM132" s="35" t="s">
        <v>59</v>
      </c>
      <c r="AN132" s="35" t="s">
        <v>68</v>
      </c>
      <c r="AO132" s="35"/>
      <c r="AP132" s="35" t="s">
        <v>59</v>
      </c>
      <c r="AQ132" s="25" t="s">
        <v>81</v>
      </c>
      <c r="AR132" s="1"/>
      <c r="AS132" t="str">
        <f t="shared" ref="AS132:AS180" si="2">IF(AND(AP132="N", ISBLANK(AQ132)), "THIS", "")</f>
        <v/>
      </c>
    </row>
    <row r="133" spans="1:45" ht="48" x14ac:dyDescent="0.2">
      <c r="A133" s="106"/>
      <c r="B133" s="1">
        <v>118</v>
      </c>
      <c r="C133" s="1" t="s">
        <v>1224</v>
      </c>
      <c r="D133" s="1" t="s">
        <v>1225</v>
      </c>
      <c r="E133" s="1" t="s">
        <v>1226</v>
      </c>
      <c r="F133" s="1" t="s">
        <v>208</v>
      </c>
      <c r="G133" s="3">
        <v>2020</v>
      </c>
      <c r="H133" s="1" t="s">
        <v>54</v>
      </c>
      <c r="I133" s="35" t="s">
        <v>59</v>
      </c>
      <c r="J133" s="1"/>
      <c r="K133" s="35" t="s">
        <v>55</v>
      </c>
      <c r="L133" s="35" t="s">
        <v>55</v>
      </c>
      <c r="M133" s="1" t="s">
        <v>55</v>
      </c>
      <c r="N133" s="35">
        <v>15</v>
      </c>
      <c r="O133" s="1" t="s">
        <v>1227</v>
      </c>
      <c r="P133" s="1" t="s">
        <v>58</v>
      </c>
      <c r="Q133" s="35" t="s">
        <v>59</v>
      </c>
      <c r="R133" s="35">
        <v>5</v>
      </c>
      <c r="S133" s="1" t="s">
        <v>1228</v>
      </c>
      <c r="T133" s="1" t="s">
        <v>1229</v>
      </c>
      <c r="U133" s="35" t="s">
        <v>614</v>
      </c>
      <c r="V133" s="4" t="s">
        <v>706</v>
      </c>
      <c r="W133" s="35" t="s">
        <v>1230</v>
      </c>
      <c r="X133" s="1" t="s">
        <v>55</v>
      </c>
      <c r="Y133" s="35" t="s">
        <v>55</v>
      </c>
      <c r="Z133" s="1" t="s">
        <v>55</v>
      </c>
      <c r="AA133" s="35" t="s">
        <v>1231</v>
      </c>
      <c r="AB133" s="26" t="s">
        <v>55</v>
      </c>
      <c r="AC133" s="40" t="s">
        <v>120</v>
      </c>
      <c r="AD133" s="1" t="s">
        <v>66</v>
      </c>
      <c r="AE133" s="1" t="s">
        <v>193</v>
      </c>
      <c r="AF133" s="35" t="s">
        <v>63</v>
      </c>
      <c r="AG133" s="35" t="s">
        <v>63</v>
      </c>
      <c r="AH133" s="35" t="s">
        <v>59</v>
      </c>
      <c r="AI133" s="25" t="s">
        <v>59</v>
      </c>
      <c r="AJ133" s="49" t="s">
        <v>59</v>
      </c>
      <c r="AK133" s="35"/>
      <c r="AL133" s="35" t="s">
        <v>59</v>
      </c>
      <c r="AM133" s="35" t="s">
        <v>63</v>
      </c>
      <c r="AN133" s="35"/>
      <c r="AO133" s="35"/>
      <c r="AP133" s="35" t="s">
        <v>59</v>
      </c>
      <c r="AQ133" s="25" t="s">
        <v>69</v>
      </c>
      <c r="AR133" s="1"/>
      <c r="AS133" t="str">
        <f t="shared" si="2"/>
        <v/>
      </c>
    </row>
    <row r="134" spans="1:45" ht="34" x14ac:dyDescent="0.2">
      <c r="A134" s="106"/>
      <c r="B134" s="118">
        <v>153</v>
      </c>
      <c r="C134" s="118" t="s">
        <v>1232</v>
      </c>
      <c r="D134" s="118" t="s">
        <v>1233</v>
      </c>
      <c r="E134" s="118" t="s">
        <v>1234</v>
      </c>
      <c r="F134" s="118" t="s">
        <v>318</v>
      </c>
      <c r="G134" s="124">
        <v>2026</v>
      </c>
      <c r="H134" s="36" t="s">
        <v>124</v>
      </c>
      <c r="I134" s="37" t="s">
        <v>63</v>
      </c>
      <c r="J134" s="118"/>
      <c r="K134" s="37">
        <v>50</v>
      </c>
      <c r="L134" s="37" t="s">
        <v>55</v>
      </c>
      <c r="M134" s="36" t="s">
        <v>55</v>
      </c>
      <c r="N134" s="37">
        <v>15</v>
      </c>
      <c r="O134" s="36" t="s">
        <v>55</v>
      </c>
      <c r="P134" s="40" t="s">
        <v>58</v>
      </c>
      <c r="Q134" s="37" t="s">
        <v>55</v>
      </c>
      <c r="R134" s="37">
        <v>7</v>
      </c>
      <c r="S134" s="36" t="s">
        <v>1235</v>
      </c>
      <c r="T134" s="36" t="s">
        <v>55</v>
      </c>
      <c r="U134" s="37" t="s">
        <v>55</v>
      </c>
      <c r="V134" s="117" t="s">
        <v>1236</v>
      </c>
      <c r="W134" s="116" t="s">
        <v>63</v>
      </c>
      <c r="X134" s="118" t="s">
        <v>55</v>
      </c>
      <c r="Y134" s="116" t="s">
        <v>59</v>
      </c>
      <c r="Z134" s="118"/>
      <c r="AA134" s="116" t="s">
        <v>1237</v>
      </c>
      <c r="AB134" s="121" t="s">
        <v>55</v>
      </c>
      <c r="AC134" s="36" t="s">
        <v>1238</v>
      </c>
      <c r="AD134" s="118" t="s">
        <v>174</v>
      </c>
      <c r="AE134" s="118" t="s">
        <v>1239</v>
      </c>
      <c r="AF134" s="116" t="s">
        <v>59</v>
      </c>
      <c r="AG134" s="116" t="s">
        <v>59</v>
      </c>
      <c r="AH134" s="116" t="s">
        <v>63</v>
      </c>
      <c r="AI134" s="121" t="s">
        <v>59</v>
      </c>
      <c r="AJ134" s="123" t="s">
        <v>59</v>
      </c>
      <c r="AK134" s="116"/>
      <c r="AL134" s="116" t="s">
        <v>59</v>
      </c>
      <c r="AM134" s="116" t="s">
        <v>59</v>
      </c>
      <c r="AN134" s="116" t="s">
        <v>93</v>
      </c>
      <c r="AO134" s="37"/>
      <c r="AP134" s="116" t="s">
        <v>59</v>
      </c>
      <c r="AQ134" s="121" t="s">
        <v>94</v>
      </c>
      <c r="AR134" s="23"/>
      <c r="AS134" t="str">
        <f t="shared" si="2"/>
        <v/>
      </c>
    </row>
    <row r="135" spans="1:45" ht="51" x14ac:dyDescent="0.2">
      <c r="A135" s="106"/>
      <c r="B135" s="118"/>
      <c r="C135" s="118"/>
      <c r="D135" s="118"/>
      <c r="E135" s="118"/>
      <c r="F135" s="118"/>
      <c r="G135" s="124"/>
      <c r="H135" s="36" t="s">
        <v>109</v>
      </c>
      <c r="I135" s="37" t="s">
        <v>63</v>
      </c>
      <c r="J135" s="118"/>
      <c r="K135" s="37">
        <v>100</v>
      </c>
      <c r="L135" s="37" t="s">
        <v>55</v>
      </c>
      <c r="M135" s="36" t="s">
        <v>55</v>
      </c>
      <c r="N135" s="37" t="s">
        <v>1240</v>
      </c>
      <c r="O135" s="36" t="s">
        <v>55</v>
      </c>
      <c r="P135" s="40" t="s">
        <v>58</v>
      </c>
      <c r="Q135" s="37" t="s">
        <v>55</v>
      </c>
      <c r="R135" s="37" t="s">
        <v>1241</v>
      </c>
      <c r="S135" s="36" t="s">
        <v>55</v>
      </c>
      <c r="T135" s="36" t="s">
        <v>55</v>
      </c>
      <c r="U135" s="37" t="s">
        <v>112</v>
      </c>
      <c r="V135" s="117"/>
      <c r="W135" s="116"/>
      <c r="X135" s="118"/>
      <c r="Y135" s="116"/>
      <c r="Z135" s="118"/>
      <c r="AA135" s="116"/>
      <c r="AB135" s="121"/>
      <c r="AC135" s="36" t="s">
        <v>120</v>
      </c>
      <c r="AD135" s="118"/>
      <c r="AE135" s="118"/>
      <c r="AF135" s="116"/>
      <c r="AG135" s="116"/>
      <c r="AH135" s="116"/>
      <c r="AI135" s="121"/>
      <c r="AJ135" s="123"/>
      <c r="AK135" s="116"/>
      <c r="AL135" s="116"/>
      <c r="AM135" s="116"/>
      <c r="AN135" s="116"/>
      <c r="AO135" s="37"/>
      <c r="AP135" s="116"/>
      <c r="AQ135" s="121"/>
      <c r="AR135" s="23"/>
      <c r="AS135" t="str">
        <f t="shared" si="2"/>
        <v/>
      </c>
    </row>
    <row r="136" spans="1:45" ht="17" x14ac:dyDescent="0.2">
      <c r="A136" s="106"/>
      <c r="B136" s="118"/>
      <c r="C136" s="118"/>
      <c r="D136" s="118"/>
      <c r="E136" s="118"/>
      <c r="F136" s="118"/>
      <c r="G136" s="124"/>
      <c r="H136" s="36" t="s">
        <v>303</v>
      </c>
      <c r="I136" s="37" t="s">
        <v>63</v>
      </c>
      <c r="J136" s="118"/>
      <c r="K136" s="37">
        <v>30</v>
      </c>
      <c r="L136" s="37" t="s">
        <v>55</v>
      </c>
      <c r="M136" s="36" t="s">
        <v>55</v>
      </c>
      <c r="N136" s="37">
        <v>4</v>
      </c>
      <c r="O136" s="36" t="s">
        <v>55</v>
      </c>
      <c r="P136" s="40" t="s">
        <v>58</v>
      </c>
      <c r="Q136" s="37" t="s">
        <v>55</v>
      </c>
      <c r="R136" s="37">
        <v>4</v>
      </c>
      <c r="S136" s="36" t="s">
        <v>1242</v>
      </c>
      <c r="T136" s="36" t="s">
        <v>55</v>
      </c>
      <c r="U136" s="37" t="s">
        <v>222</v>
      </c>
      <c r="V136" s="117"/>
      <c r="W136" s="116"/>
      <c r="X136" s="118"/>
      <c r="Y136" s="116"/>
      <c r="Z136" s="118"/>
      <c r="AA136" s="116"/>
      <c r="AB136" s="121"/>
      <c r="AC136" s="36" t="s">
        <v>120</v>
      </c>
      <c r="AD136" s="118"/>
      <c r="AE136" s="118"/>
      <c r="AF136" s="116"/>
      <c r="AG136" s="116"/>
      <c r="AH136" s="116"/>
      <c r="AI136" s="121"/>
      <c r="AJ136" s="123"/>
      <c r="AK136" s="116"/>
      <c r="AL136" s="116"/>
      <c r="AM136" s="116"/>
      <c r="AN136" s="116"/>
      <c r="AO136" s="37"/>
      <c r="AP136" s="116"/>
      <c r="AQ136" s="121"/>
      <c r="AR136" s="23"/>
      <c r="AS136" t="str">
        <f t="shared" si="2"/>
        <v/>
      </c>
    </row>
    <row r="137" spans="1:45" ht="51" x14ac:dyDescent="0.2">
      <c r="A137" s="106"/>
      <c r="B137" s="118"/>
      <c r="C137" s="118"/>
      <c r="D137" s="118"/>
      <c r="E137" s="118"/>
      <c r="F137" s="118"/>
      <c r="G137" s="124"/>
      <c r="H137" s="36" t="s">
        <v>236</v>
      </c>
      <c r="I137" s="37" t="s">
        <v>63</v>
      </c>
      <c r="J137" s="118"/>
      <c r="K137" s="37" t="s">
        <v>55</v>
      </c>
      <c r="L137" s="37" t="s">
        <v>55</v>
      </c>
      <c r="M137" s="36" t="s">
        <v>55</v>
      </c>
      <c r="N137" s="37" t="s">
        <v>1243</v>
      </c>
      <c r="O137" s="36" t="s">
        <v>55</v>
      </c>
      <c r="P137" s="40" t="s">
        <v>58</v>
      </c>
      <c r="Q137" s="37" t="s">
        <v>55</v>
      </c>
      <c r="R137" s="37">
        <v>18</v>
      </c>
      <c r="S137" s="36" t="s">
        <v>55</v>
      </c>
      <c r="T137" s="36" t="s">
        <v>55</v>
      </c>
      <c r="U137" s="37" t="s">
        <v>55</v>
      </c>
      <c r="V137" s="117"/>
      <c r="W137" s="116"/>
      <c r="X137" s="118"/>
      <c r="Y137" s="116"/>
      <c r="Z137" s="118"/>
      <c r="AA137" s="116"/>
      <c r="AB137" s="121"/>
      <c r="AC137" s="36" t="s">
        <v>1238</v>
      </c>
      <c r="AD137" s="118"/>
      <c r="AE137" s="118"/>
      <c r="AF137" s="116"/>
      <c r="AG137" s="116"/>
      <c r="AH137" s="116"/>
      <c r="AI137" s="121"/>
      <c r="AJ137" s="123"/>
      <c r="AK137" s="116"/>
      <c r="AL137" s="116"/>
      <c r="AM137" s="116"/>
      <c r="AN137" s="116"/>
      <c r="AO137" s="37"/>
      <c r="AP137" s="116"/>
      <c r="AQ137" s="121"/>
      <c r="AR137" s="23"/>
      <c r="AS137" t="str">
        <f t="shared" si="2"/>
        <v/>
      </c>
    </row>
    <row r="138" spans="1:45" ht="153" x14ac:dyDescent="0.2">
      <c r="A138" s="106"/>
      <c r="B138" s="36">
        <v>147</v>
      </c>
      <c r="C138" s="36" t="s">
        <v>1244</v>
      </c>
      <c r="D138" s="36" t="s">
        <v>1245</v>
      </c>
      <c r="E138" s="36" t="s">
        <v>1246</v>
      </c>
      <c r="F138" s="36" t="s">
        <v>199</v>
      </c>
      <c r="G138" s="58">
        <v>2025</v>
      </c>
      <c r="H138" s="36" t="s">
        <v>98</v>
      </c>
      <c r="I138" s="37" t="s">
        <v>63</v>
      </c>
      <c r="J138" s="36"/>
      <c r="K138" s="37" t="s">
        <v>1247</v>
      </c>
      <c r="L138" s="37" t="s">
        <v>55</v>
      </c>
      <c r="M138" s="36" t="s">
        <v>55</v>
      </c>
      <c r="N138" s="37">
        <v>9</v>
      </c>
      <c r="O138" s="36" t="s">
        <v>101</v>
      </c>
      <c r="P138" s="40" t="s">
        <v>58</v>
      </c>
      <c r="Q138" s="37" t="s">
        <v>55</v>
      </c>
      <c r="R138" s="37">
        <v>6</v>
      </c>
      <c r="S138" s="36" t="s">
        <v>1248</v>
      </c>
      <c r="T138" s="36" t="s">
        <v>55</v>
      </c>
      <c r="U138" s="37" t="s">
        <v>55</v>
      </c>
      <c r="V138" s="57" t="s">
        <v>1249</v>
      </c>
      <c r="W138" s="37" t="s">
        <v>59</v>
      </c>
      <c r="X138" s="36" t="s">
        <v>1250</v>
      </c>
      <c r="Y138" s="37" t="s">
        <v>59</v>
      </c>
      <c r="Z138" s="36"/>
      <c r="AA138" s="37">
        <v>1</v>
      </c>
      <c r="AB138" s="38">
        <v>50</v>
      </c>
      <c r="AC138" s="36" t="s">
        <v>106</v>
      </c>
      <c r="AD138" s="36" t="s">
        <v>1186</v>
      </c>
      <c r="AE138" s="36" t="s">
        <v>1251</v>
      </c>
      <c r="AF138" s="37" t="s">
        <v>59</v>
      </c>
      <c r="AG138" s="37" t="s">
        <v>59</v>
      </c>
      <c r="AH138" s="37" t="s">
        <v>63</v>
      </c>
      <c r="AI138" s="38" t="s">
        <v>63</v>
      </c>
      <c r="AJ138" s="50" t="s">
        <v>1252</v>
      </c>
      <c r="AK138" s="37"/>
      <c r="AL138" s="37" t="s">
        <v>59</v>
      </c>
      <c r="AM138" s="37" t="s">
        <v>63</v>
      </c>
      <c r="AN138" s="37"/>
      <c r="AO138" s="37"/>
      <c r="AP138" s="37" t="s">
        <v>63</v>
      </c>
      <c r="AQ138" s="38"/>
      <c r="AR138" s="23"/>
      <c r="AS138" t="str">
        <f t="shared" si="2"/>
        <v/>
      </c>
    </row>
    <row r="139" spans="1:45" ht="64" x14ac:dyDescent="0.2">
      <c r="A139" s="106"/>
      <c r="B139" s="1">
        <v>38</v>
      </c>
      <c r="C139" s="1" t="s">
        <v>1253</v>
      </c>
      <c r="D139" s="1" t="s">
        <v>1254</v>
      </c>
      <c r="E139" s="2" t="s">
        <v>1255</v>
      </c>
      <c r="F139" s="1" t="s">
        <v>116</v>
      </c>
      <c r="G139" s="3">
        <v>2017</v>
      </c>
      <c r="H139" s="1" t="s">
        <v>54</v>
      </c>
      <c r="I139" s="35" t="s">
        <v>55</v>
      </c>
      <c r="J139" s="1"/>
      <c r="K139" s="35">
        <v>50</v>
      </c>
      <c r="L139" s="35" t="s">
        <v>55</v>
      </c>
      <c r="M139" s="1" t="s">
        <v>55</v>
      </c>
      <c r="N139" s="35">
        <v>8</v>
      </c>
      <c r="O139" s="1" t="s">
        <v>55</v>
      </c>
      <c r="P139" s="40" t="s">
        <v>58</v>
      </c>
      <c r="Q139" s="35" t="s">
        <v>59</v>
      </c>
      <c r="R139" s="35">
        <v>8</v>
      </c>
      <c r="S139" s="1" t="s">
        <v>1256</v>
      </c>
      <c r="T139" s="1" t="s">
        <v>55</v>
      </c>
      <c r="U139" s="35" t="s">
        <v>222</v>
      </c>
      <c r="V139" s="4" t="s">
        <v>1257</v>
      </c>
      <c r="W139" s="35" t="s">
        <v>63</v>
      </c>
      <c r="X139" s="1" t="s">
        <v>104</v>
      </c>
      <c r="Y139" s="35" t="s">
        <v>63</v>
      </c>
      <c r="Z139" s="1" t="s">
        <v>150</v>
      </c>
      <c r="AA139" s="35">
        <v>1</v>
      </c>
      <c r="AB139" s="25">
        <v>50</v>
      </c>
      <c r="AC139" s="1" t="s">
        <v>106</v>
      </c>
      <c r="AD139" s="1" t="s">
        <v>66</v>
      </c>
      <c r="AE139" s="1" t="s">
        <v>1258</v>
      </c>
      <c r="AF139" s="35" t="s">
        <v>59</v>
      </c>
      <c r="AG139" s="35" t="s">
        <v>63</v>
      </c>
      <c r="AH139" s="35" t="s">
        <v>59</v>
      </c>
      <c r="AI139" s="25" t="s">
        <v>59</v>
      </c>
      <c r="AJ139" s="49" t="s">
        <v>59</v>
      </c>
      <c r="AK139" s="35"/>
      <c r="AL139" s="35" t="s">
        <v>59</v>
      </c>
      <c r="AM139" s="35" t="s">
        <v>63</v>
      </c>
      <c r="AN139" s="35"/>
      <c r="AO139" s="35"/>
      <c r="AP139" s="35" t="s">
        <v>59</v>
      </c>
      <c r="AQ139" s="25" t="s">
        <v>69</v>
      </c>
      <c r="AR139" s="1"/>
      <c r="AS139" t="str">
        <f t="shared" si="2"/>
        <v/>
      </c>
    </row>
    <row r="140" spans="1:45" ht="80" x14ac:dyDescent="0.2">
      <c r="A140" s="107"/>
      <c r="B140" s="16">
        <v>127</v>
      </c>
      <c r="C140" s="16" t="s">
        <v>1259</v>
      </c>
      <c r="D140" s="16" t="s">
        <v>1260</v>
      </c>
      <c r="E140" s="16" t="s">
        <v>1261</v>
      </c>
      <c r="F140" s="16" t="s">
        <v>496</v>
      </c>
      <c r="G140" s="17">
        <v>2024</v>
      </c>
      <c r="H140" s="16" t="s">
        <v>1262</v>
      </c>
      <c r="I140" s="15" t="s">
        <v>63</v>
      </c>
      <c r="J140" s="16"/>
      <c r="K140" s="15">
        <v>30</v>
      </c>
      <c r="L140" s="15" t="s">
        <v>55</v>
      </c>
      <c r="M140" s="16" t="s">
        <v>55</v>
      </c>
      <c r="N140" s="15" t="s">
        <v>1263</v>
      </c>
      <c r="O140" s="16" t="s">
        <v>55</v>
      </c>
      <c r="P140" s="16" t="s">
        <v>186</v>
      </c>
      <c r="Q140" s="15" t="s">
        <v>59</v>
      </c>
      <c r="R140" s="15" t="s">
        <v>1264</v>
      </c>
      <c r="S140" s="16" t="s">
        <v>55</v>
      </c>
      <c r="T140" s="16" t="s">
        <v>55</v>
      </c>
      <c r="U140" s="15" t="s">
        <v>55</v>
      </c>
      <c r="V140" s="18" t="s">
        <v>1265</v>
      </c>
      <c r="W140" s="15" t="s">
        <v>63</v>
      </c>
      <c r="X140" s="16" t="s">
        <v>55</v>
      </c>
      <c r="Y140" s="15" t="s">
        <v>55</v>
      </c>
      <c r="Z140" s="16" t="s">
        <v>55</v>
      </c>
      <c r="AA140" s="15">
        <v>10</v>
      </c>
      <c r="AB140" s="27" t="s">
        <v>55</v>
      </c>
      <c r="AC140" s="16" t="s">
        <v>1266</v>
      </c>
      <c r="AD140" s="16" t="s">
        <v>1267</v>
      </c>
      <c r="AE140" s="16" t="s">
        <v>1268</v>
      </c>
      <c r="AF140" s="15" t="s">
        <v>59</v>
      </c>
      <c r="AG140" s="15" t="s">
        <v>59</v>
      </c>
      <c r="AH140" s="15" t="s">
        <v>63</v>
      </c>
      <c r="AI140" s="27" t="s">
        <v>63</v>
      </c>
      <c r="AJ140" s="52" t="s">
        <v>63</v>
      </c>
      <c r="AK140" s="69" t="s">
        <v>1269</v>
      </c>
      <c r="AL140" s="15" t="s">
        <v>1270</v>
      </c>
      <c r="AM140" s="15" t="s">
        <v>63</v>
      </c>
      <c r="AN140" s="15"/>
      <c r="AO140" s="15"/>
      <c r="AP140" s="15" t="s">
        <v>63</v>
      </c>
      <c r="AQ140" s="27"/>
      <c r="AR140" s="1"/>
      <c r="AS140" t="str">
        <f t="shared" si="2"/>
        <v/>
      </c>
    </row>
    <row r="141" spans="1:45" ht="256" x14ac:dyDescent="0.2">
      <c r="A141" s="108" t="s">
        <v>1271</v>
      </c>
      <c r="B141" s="42">
        <v>23</v>
      </c>
      <c r="C141" s="42" t="s">
        <v>1272</v>
      </c>
      <c r="D141" s="42" t="s">
        <v>1273</v>
      </c>
      <c r="E141" s="64" t="s">
        <v>1274</v>
      </c>
      <c r="F141" s="42" t="s">
        <v>208</v>
      </c>
      <c r="G141" s="44">
        <v>2016</v>
      </c>
      <c r="H141" s="42" t="s">
        <v>54</v>
      </c>
      <c r="I141" s="46" t="s">
        <v>55</v>
      </c>
      <c r="J141" s="42"/>
      <c r="K141" s="46">
        <v>512</v>
      </c>
      <c r="L141" s="46">
        <v>16</v>
      </c>
      <c r="M141" s="42" t="s">
        <v>1275</v>
      </c>
      <c r="N141" s="46">
        <v>25</v>
      </c>
      <c r="O141" s="42" t="s">
        <v>1276</v>
      </c>
      <c r="P141" s="42" t="s">
        <v>58</v>
      </c>
      <c r="Q141" s="46" t="s">
        <v>59</v>
      </c>
      <c r="R141" s="46" t="s">
        <v>1277</v>
      </c>
      <c r="S141" s="42" t="s">
        <v>1278</v>
      </c>
      <c r="T141" s="42" t="s">
        <v>1279</v>
      </c>
      <c r="U141" s="46" t="s">
        <v>614</v>
      </c>
      <c r="V141" s="45" t="s">
        <v>753</v>
      </c>
      <c r="W141" s="46" t="s">
        <v>59</v>
      </c>
      <c r="X141" s="42" t="s">
        <v>1280</v>
      </c>
      <c r="Y141" s="46" t="s">
        <v>63</v>
      </c>
      <c r="Z141" s="42" t="s">
        <v>1281</v>
      </c>
      <c r="AA141" s="46" t="s">
        <v>1282</v>
      </c>
      <c r="AB141" s="47">
        <v>0</v>
      </c>
      <c r="AC141" s="42" t="s">
        <v>120</v>
      </c>
      <c r="AD141" s="42" t="s">
        <v>535</v>
      </c>
      <c r="AE141" s="42" t="s">
        <v>1283</v>
      </c>
      <c r="AF141" s="46" t="s">
        <v>63</v>
      </c>
      <c r="AG141" s="46" t="s">
        <v>59</v>
      </c>
      <c r="AH141" s="46" t="s">
        <v>59</v>
      </c>
      <c r="AI141" s="47" t="s">
        <v>59</v>
      </c>
      <c r="AJ141" s="53" t="s">
        <v>59</v>
      </c>
      <c r="AK141" s="46"/>
      <c r="AL141" s="46" t="s">
        <v>59</v>
      </c>
      <c r="AM141" s="46" t="s">
        <v>59</v>
      </c>
      <c r="AN141" s="46" t="s">
        <v>82</v>
      </c>
      <c r="AO141" s="46"/>
      <c r="AP141" s="46" t="s">
        <v>59</v>
      </c>
      <c r="AQ141" s="47" t="s">
        <v>69</v>
      </c>
      <c r="AR141" s="1"/>
      <c r="AS141" t="str">
        <f t="shared" si="2"/>
        <v/>
      </c>
    </row>
    <row r="142" spans="1:45" ht="204" customHeight="1" x14ac:dyDescent="0.2">
      <c r="A142" s="109"/>
      <c r="B142" s="36">
        <v>144</v>
      </c>
      <c r="C142" s="36" t="s">
        <v>1284</v>
      </c>
      <c r="D142" s="36" t="s">
        <v>1285</v>
      </c>
      <c r="E142" s="36" t="s">
        <v>1286</v>
      </c>
      <c r="F142" s="36" t="s">
        <v>208</v>
      </c>
      <c r="G142" s="58">
        <v>2025</v>
      </c>
      <c r="H142" s="36" t="s">
        <v>54</v>
      </c>
      <c r="I142" s="37" t="s">
        <v>59</v>
      </c>
      <c r="J142" s="36"/>
      <c r="K142" s="37">
        <v>80</v>
      </c>
      <c r="L142" s="37" t="s">
        <v>55</v>
      </c>
      <c r="M142" s="36" t="s">
        <v>1287</v>
      </c>
      <c r="N142" s="37">
        <v>6</v>
      </c>
      <c r="O142" s="36" t="s">
        <v>55</v>
      </c>
      <c r="P142" s="40" t="s">
        <v>58</v>
      </c>
      <c r="Q142" s="37" t="s">
        <v>63</v>
      </c>
      <c r="R142" s="37">
        <v>6</v>
      </c>
      <c r="S142" s="36" t="s">
        <v>1288</v>
      </c>
      <c r="T142" s="36" t="s">
        <v>1289</v>
      </c>
      <c r="U142" s="37" t="s">
        <v>55</v>
      </c>
      <c r="V142" s="57" t="s">
        <v>1290</v>
      </c>
      <c r="W142" s="37" t="s">
        <v>1291</v>
      </c>
      <c r="X142" s="36" t="s">
        <v>55</v>
      </c>
      <c r="Y142" s="37" t="s">
        <v>55</v>
      </c>
      <c r="Z142" s="36" t="s">
        <v>55</v>
      </c>
      <c r="AA142" s="37" t="s">
        <v>1292</v>
      </c>
      <c r="AB142" s="38" t="s">
        <v>55</v>
      </c>
      <c r="AC142" s="36" t="s">
        <v>213</v>
      </c>
      <c r="AD142" s="36" t="s">
        <v>1293</v>
      </c>
      <c r="AE142" s="36" t="s">
        <v>1294</v>
      </c>
      <c r="AF142" s="37" t="s">
        <v>63</v>
      </c>
      <c r="AG142" s="37" t="s">
        <v>59</v>
      </c>
      <c r="AH142" s="37" t="s">
        <v>59</v>
      </c>
      <c r="AI142" s="38" t="s">
        <v>59</v>
      </c>
      <c r="AJ142" s="50" t="s">
        <v>59</v>
      </c>
      <c r="AK142" s="37"/>
      <c r="AL142" s="37" t="s">
        <v>59</v>
      </c>
      <c r="AM142" s="37" t="s">
        <v>59</v>
      </c>
      <c r="AN142" s="37" t="s">
        <v>82</v>
      </c>
      <c r="AO142" s="37"/>
      <c r="AP142" s="37" t="s">
        <v>59</v>
      </c>
      <c r="AQ142" s="38" t="s">
        <v>69</v>
      </c>
      <c r="AR142" s="23"/>
      <c r="AS142" t="str">
        <f t="shared" si="2"/>
        <v/>
      </c>
    </row>
    <row r="143" spans="1:45" ht="32" customHeight="1" x14ac:dyDescent="0.2">
      <c r="A143" s="109"/>
      <c r="B143" s="92">
        <v>6</v>
      </c>
      <c r="C143" s="92" t="s">
        <v>1295</v>
      </c>
      <c r="D143" s="92" t="s">
        <v>1296</v>
      </c>
      <c r="E143" s="135" t="s">
        <v>1297</v>
      </c>
      <c r="F143" s="92" t="s">
        <v>290</v>
      </c>
      <c r="G143" s="91">
        <v>2014</v>
      </c>
      <c r="H143" s="1" t="s">
        <v>54</v>
      </c>
      <c r="I143" s="35" t="s">
        <v>55</v>
      </c>
      <c r="J143" s="1"/>
      <c r="K143" s="73" t="s">
        <v>1298</v>
      </c>
      <c r="L143" s="35" t="s">
        <v>55</v>
      </c>
      <c r="M143" s="1" t="s">
        <v>1299</v>
      </c>
      <c r="N143" s="35">
        <v>13</v>
      </c>
      <c r="O143" s="1" t="s">
        <v>55</v>
      </c>
      <c r="P143" s="1" t="s">
        <v>58</v>
      </c>
      <c r="Q143" s="35" t="s">
        <v>63</v>
      </c>
      <c r="R143" s="35">
        <v>5</v>
      </c>
      <c r="S143" s="1" t="s">
        <v>1300</v>
      </c>
      <c r="T143" s="73" t="s">
        <v>1301</v>
      </c>
      <c r="U143" s="35" t="s">
        <v>614</v>
      </c>
      <c r="V143" s="21" t="s">
        <v>753</v>
      </c>
      <c r="W143" s="73" t="s">
        <v>59</v>
      </c>
      <c r="X143" s="1" t="s">
        <v>655</v>
      </c>
      <c r="Y143" s="35" t="s">
        <v>63</v>
      </c>
      <c r="Z143" s="73" t="s">
        <v>1302</v>
      </c>
      <c r="AA143" s="73">
        <v>60</v>
      </c>
      <c r="AB143" s="20" t="s">
        <v>55</v>
      </c>
      <c r="AC143" s="1" t="s">
        <v>120</v>
      </c>
      <c r="AD143" s="73" t="s">
        <v>66</v>
      </c>
      <c r="AE143" s="73" t="s">
        <v>1303</v>
      </c>
      <c r="AF143" s="73" t="s">
        <v>63</v>
      </c>
      <c r="AG143" s="73" t="s">
        <v>59</v>
      </c>
      <c r="AH143" s="73" t="s">
        <v>63</v>
      </c>
      <c r="AI143" s="20" t="s">
        <v>59</v>
      </c>
      <c r="AJ143" s="21" t="s">
        <v>59</v>
      </c>
      <c r="AK143" s="73"/>
      <c r="AL143" s="73" t="s">
        <v>59</v>
      </c>
      <c r="AM143" s="73" t="s">
        <v>59</v>
      </c>
      <c r="AN143" s="73" t="s">
        <v>93</v>
      </c>
      <c r="AO143" s="73"/>
      <c r="AP143" s="73" t="s">
        <v>59</v>
      </c>
      <c r="AQ143" s="20" t="s">
        <v>69</v>
      </c>
      <c r="AR143" s="1"/>
      <c r="AS143" t="str">
        <f t="shared" si="2"/>
        <v/>
      </c>
    </row>
    <row r="144" spans="1:45" ht="32" x14ac:dyDescent="0.2">
      <c r="A144" s="109"/>
      <c r="B144" s="92"/>
      <c r="C144" s="92"/>
      <c r="D144" s="92"/>
      <c r="E144" s="135"/>
      <c r="F144" s="92"/>
      <c r="G144" s="91"/>
      <c r="H144" s="1" t="s">
        <v>54</v>
      </c>
      <c r="I144" s="35" t="s">
        <v>55</v>
      </c>
      <c r="J144" s="1"/>
      <c r="K144" s="73"/>
      <c r="L144" s="35" t="s">
        <v>55</v>
      </c>
      <c r="M144" s="1" t="s">
        <v>1304</v>
      </c>
      <c r="N144" s="35">
        <v>8</v>
      </c>
      <c r="O144" s="1" t="s">
        <v>55</v>
      </c>
      <c r="P144" s="1" t="s">
        <v>186</v>
      </c>
      <c r="Q144" s="35" t="s">
        <v>55</v>
      </c>
      <c r="R144" s="35">
        <v>5</v>
      </c>
      <c r="S144" s="1" t="s">
        <v>1305</v>
      </c>
      <c r="T144" s="73" t="s">
        <v>55</v>
      </c>
      <c r="U144" s="35" t="s">
        <v>614</v>
      </c>
      <c r="V144" s="21"/>
      <c r="W144" s="73"/>
      <c r="X144" s="1" t="s">
        <v>655</v>
      </c>
      <c r="Y144" s="35" t="s">
        <v>63</v>
      </c>
      <c r="Z144" s="73"/>
      <c r="AA144" s="73"/>
      <c r="AB144" s="20"/>
      <c r="AC144" s="1" t="s">
        <v>65</v>
      </c>
      <c r="AD144" s="73"/>
      <c r="AE144" s="73"/>
      <c r="AF144" s="73"/>
      <c r="AG144" s="73"/>
      <c r="AH144" s="73"/>
      <c r="AI144" s="20"/>
      <c r="AJ144" s="21"/>
      <c r="AK144" s="73"/>
      <c r="AL144" s="73"/>
      <c r="AM144" s="73"/>
      <c r="AN144" s="73"/>
      <c r="AO144" s="73"/>
      <c r="AP144" s="73"/>
      <c r="AQ144" s="20"/>
      <c r="AR144" s="1"/>
      <c r="AS144" t="str">
        <f t="shared" si="2"/>
        <v/>
      </c>
    </row>
    <row r="145" spans="1:45" ht="112" x14ac:dyDescent="0.2">
      <c r="A145" s="109"/>
      <c r="B145" s="1">
        <v>44</v>
      </c>
      <c r="C145" s="1" t="s">
        <v>1306</v>
      </c>
      <c r="D145" s="1" t="s">
        <v>1307</v>
      </c>
      <c r="E145" s="2" t="s">
        <v>1308</v>
      </c>
      <c r="F145" s="1" t="s">
        <v>417</v>
      </c>
      <c r="G145" s="3">
        <v>2021</v>
      </c>
      <c r="H145" s="1" t="s">
        <v>219</v>
      </c>
      <c r="I145" s="35" t="s">
        <v>63</v>
      </c>
      <c r="J145" s="1"/>
      <c r="K145" s="35">
        <v>50</v>
      </c>
      <c r="L145" s="35" t="s">
        <v>55</v>
      </c>
      <c r="M145" s="1" t="s">
        <v>55</v>
      </c>
      <c r="N145" s="35">
        <v>10</v>
      </c>
      <c r="O145" s="1" t="s">
        <v>220</v>
      </c>
      <c r="P145" s="1" t="s">
        <v>58</v>
      </c>
      <c r="Q145" s="35" t="s">
        <v>55</v>
      </c>
      <c r="R145" s="35">
        <v>12</v>
      </c>
      <c r="S145" s="1" t="s">
        <v>1309</v>
      </c>
      <c r="T145" s="1" t="s">
        <v>55</v>
      </c>
      <c r="U145" s="35" t="s">
        <v>222</v>
      </c>
      <c r="V145" s="4" t="s">
        <v>1310</v>
      </c>
      <c r="W145" s="35" t="s">
        <v>59</v>
      </c>
      <c r="X145" s="1" t="s">
        <v>1311</v>
      </c>
      <c r="Y145" s="35" t="s">
        <v>63</v>
      </c>
      <c r="Z145" s="1" t="s">
        <v>1312</v>
      </c>
      <c r="AA145" s="35">
        <v>2</v>
      </c>
      <c r="AB145" s="25">
        <v>50</v>
      </c>
      <c r="AC145" s="1" t="s">
        <v>1313</v>
      </c>
      <c r="AD145" s="1" t="s">
        <v>66</v>
      </c>
      <c r="AE145" s="1" t="s">
        <v>1314</v>
      </c>
      <c r="AF145" s="35" t="s">
        <v>59</v>
      </c>
      <c r="AG145" s="35" t="s">
        <v>63</v>
      </c>
      <c r="AH145" s="35" t="s">
        <v>59</v>
      </c>
      <c r="AI145" s="25" t="s">
        <v>59</v>
      </c>
      <c r="AJ145" s="49" t="s">
        <v>59</v>
      </c>
      <c r="AK145" s="35"/>
      <c r="AL145" s="35" t="s">
        <v>59</v>
      </c>
      <c r="AM145" s="35" t="s">
        <v>59</v>
      </c>
      <c r="AN145" s="35" t="s">
        <v>68</v>
      </c>
      <c r="AO145" s="35"/>
      <c r="AP145" s="35" t="s">
        <v>59</v>
      </c>
      <c r="AQ145" s="25" t="s">
        <v>81</v>
      </c>
      <c r="AR145" s="1"/>
      <c r="AS145" t="str">
        <f t="shared" si="2"/>
        <v/>
      </c>
    </row>
    <row r="146" spans="1:45" ht="96" x14ac:dyDescent="0.2">
      <c r="A146" s="109"/>
      <c r="B146" s="1">
        <v>119</v>
      </c>
      <c r="C146" s="1" t="s">
        <v>1315</v>
      </c>
      <c r="D146" s="1" t="s">
        <v>974</v>
      </c>
      <c r="E146" s="1" t="s">
        <v>1316</v>
      </c>
      <c r="F146" s="1" t="s">
        <v>318</v>
      </c>
      <c r="G146" s="3">
        <v>2019</v>
      </c>
      <c r="H146" s="1" t="s">
        <v>54</v>
      </c>
      <c r="I146" s="35" t="s">
        <v>59</v>
      </c>
      <c r="J146" s="1"/>
      <c r="K146" s="35">
        <v>100</v>
      </c>
      <c r="L146" s="35" t="s">
        <v>1317</v>
      </c>
      <c r="M146" s="1" t="s">
        <v>1318</v>
      </c>
      <c r="N146" s="35" t="s">
        <v>1319</v>
      </c>
      <c r="O146" s="1" t="s">
        <v>55</v>
      </c>
      <c r="P146" s="1" t="s">
        <v>58</v>
      </c>
      <c r="Q146" s="35" t="s">
        <v>59</v>
      </c>
      <c r="R146" s="35">
        <v>15</v>
      </c>
      <c r="S146" s="1" t="s">
        <v>1320</v>
      </c>
      <c r="T146" s="1" t="s">
        <v>55</v>
      </c>
      <c r="U146" s="35" t="s">
        <v>222</v>
      </c>
      <c r="V146" s="4" t="s">
        <v>1321</v>
      </c>
      <c r="W146" s="35" t="s">
        <v>63</v>
      </c>
      <c r="X146" s="1" t="s">
        <v>55</v>
      </c>
      <c r="Y146" s="35" t="s">
        <v>63</v>
      </c>
      <c r="Z146" s="1" t="s">
        <v>607</v>
      </c>
      <c r="AA146" s="35" t="s">
        <v>1322</v>
      </c>
      <c r="AB146" s="25" t="s">
        <v>55</v>
      </c>
      <c r="AC146" s="1" t="s">
        <v>106</v>
      </c>
      <c r="AD146" s="1" t="s">
        <v>1323</v>
      </c>
      <c r="AE146" s="1" t="s">
        <v>1324</v>
      </c>
      <c r="AF146" s="35" t="s">
        <v>63</v>
      </c>
      <c r="AG146" s="35" t="s">
        <v>63</v>
      </c>
      <c r="AH146" s="35" t="s">
        <v>59</v>
      </c>
      <c r="AI146" s="25" t="s">
        <v>59</v>
      </c>
      <c r="AJ146" s="49" t="s">
        <v>59</v>
      </c>
      <c r="AK146" s="35"/>
      <c r="AL146" s="35" t="s">
        <v>59</v>
      </c>
      <c r="AM146" s="35" t="s">
        <v>59</v>
      </c>
      <c r="AN146" s="35" t="s">
        <v>68</v>
      </c>
      <c r="AO146" s="35"/>
      <c r="AP146" s="35" t="s">
        <v>59</v>
      </c>
      <c r="AQ146" s="25" t="s">
        <v>69</v>
      </c>
      <c r="AR146" s="1"/>
      <c r="AS146" t="str">
        <f t="shared" si="2"/>
        <v/>
      </c>
    </row>
    <row r="147" spans="1:45" ht="128" x14ac:dyDescent="0.2">
      <c r="A147" s="109"/>
      <c r="B147" s="92">
        <v>11</v>
      </c>
      <c r="C147" s="92" t="s">
        <v>1325</v>
      </c>
      <c r="D147" s="92" t="s">
        <v>1326</v>
      </c>
      <c r="E147" s="93" t="s">
        <v>1327</v>
      </c>
      <c r="F147" s="92" t="s">
        <v>459</v>
      </c>
      <c r="G147" s="91">
        <v>2020</v>
      </c>
      <c r="H147" s="95" t="s">
        <v>109</v>
      </c>
      <c r="I147" s="92" t="s">
        <v>63</v>
      </c>
      <c r="J147" s="92"/>
      <c r="K147" s="92" t="s">
        <v>1328</v>
      </c>
      <c r="L147" s="92" t="s">
        <v>1329</v>
      </c>
      <c r="M147" s="92" t="s">
        <v>55</v>
      </c>
      <c r="N147" s="92">
        <v>9</v>
      </c>
      <c r="O147" s="92" t="s">
        <v>55</v>
      </c>
      <c r="P147" s="92" t="s">
        <v>55</v>
      </c>
      <c r="Q147" s="92" t="s">
        <v>55</v>
      </c>
      <c r="R147" s="35">
        <v>5</v>
      </c>
      <c r="S147" s="1" t="s">
        <v>1330</v>
      </c>
      <c r="T147" s="92" t="s">
        <v>55</v>
      </c>
      <c r="U147" s="91" t="s">
        <v>55</v>
      </c>
      <c r="V147" s="95" t="s">
        <v>1331</v>
      </c>
      <c r="W147" s="92" t="s">
        <v>59</v>
      </c>
      <c r="X147" s="92" t="s">
        <v>1332</v>
      </c>
      <c r="Y147" s="92" t="s">
        <v>59</v>
      </c>
      <c r="Z147" s="92"/>
      <c r="AA147" s="92" t="s">
        <v>1333</v>
      </c>
      <c r="AB147" s="91" t="s">
        <v>55</v>
      </c>
      <c r="AC147" s="95" t="s">
        <v>502</v>
      </c>
      <c r="AD147" s="92" t="s">
        <v>1334</v>
      </c>
      <c r="AE147" s="1" t="s">
        <v>1335</v>
      </c>
      <c r="AF147" s="92" t="s">
        <v>59</v>
      </c>
      <c r="AG147" s="92" t="s">
        <v>1336</v>
      </c>
      <c r="AH147" s="92" t="s">
        <v>59</v>
      </c>
      <c r="AI147" s="91" t="s">
        <v>59</v>
      </c>
      <c r="AJ147" s="95" t="s">
        <v>59</v>
      </c>
      <c r="AK147" s="92"/>
      <c r="AL147" s="92" t="s">
        <v>59</v>
      </c>
      <c r="AM147" s="92" t="s">
        <v>59</v>
      </c>
      <c r="AN147" s="92" t="s">
        <v>93</v>
      </c>
      <c r="AO147" s="92"/>
      <c r="AP147" s="92" t="s">
        <v>59</v>
      </c>
      <c r="AQ147" s="91" t="s">
        <v>81</v>
      </c>
      <c r="AR147" s="1"/>
      <c r="AS147" t="str">
        <f t="shared" si="2"/>
        <v/>
      </c>
    </row>
    <row r="148" spans="1:45" x14ac:dyDescent="0.2">
      <c r="A148" s="109"/>
      <c r="B148" s="92"/>
      <c r="C148" s="92"/>
      <c r="D148" s="92"/>
      <c r="E148" s="93"/>
      <c r="F148" s="92"/>
      <c r="G148" s="91"/>
      <c r="H148" s="95"/>
      <c r="I148" s="92"/>
      <c r="J148" s="92"/>
      <c r="K148" s="92"/>
      <c r="L148" s="92"/>
      <c r="M148" s="92"/>
      <c r="N148" s="92"/>
      <c r="O148" s="92"/>
      <c r="P148" s="92"/>
      <c r="Q148" s="92"/>
      <c r="R148" s="35">
        <v>12</v>
      </c>
      <c r="S148" s="1" t="s">
        <v>55</v>
      </c>
      <c r="T148" s="92"/>
      <c r="U148" s="91"/>
      <c r="V148" s="95"/>
      <c r="W148" s="92"/>
      <c r="X148" s="92"/>
      <c r="Y148" s="92"/>
      <c r="Z148" s="92"/>
      <c r="AA148" s="92"/>
      <c r="AB148" s="91"/>
      <c r="AC148" s="95"/>
      <c r="AD148" s="92"/>
      <c r="AE148" s="1" t="s">
        <v>718</v>
      </c>
      <c r="AF148" s="92"/>
      <c r="AG148" s="92"/>
      <c r="AH148" s="92"/>
      <c r="AI148" s="91"/>
      <c r="AJ148" s="95"/>
      <c r="AK148" s="92"/>
      <c r="AL148" s="92"/>
      <c r="AM148" s="92"/>
      <c r="AN148" s="92"/>
      <c r="AO148" s="92"/>
      <c r="AP148" s="92"/>
      <c r="AQ148" s="91"/>
      <c r="AR148" s="1"/>
      <c r="AS148" t="str">
        <f t="shared" si="2"/>
        <v/>
      </c>
    </row>
    <row r="149" spans="1:45" ht="112" x14ac:dyDescent="0.2">
      <c r="A149" s="109"/>
      <c r="B149" s="1">
        <v>27</v>
      </c>
      <c r="C149" s="1" t="s">
        <v>1337</v>
      </c>
      <c r="D149" s="1" t="s">
        <v>1326</v>
      </c>
      <c r="E149" s="2" t="s">
        <v>1338</v>
      </c>
      <c r="F149" s="1" t="s">
        <v>417</v>
      </c>
      <c r="G149" s="3">
        <v>2020</v>
      </c>
      <c r="H149" s="1" t="s">
        <v>109</v>
      </c>
      <c r="I149" s="35" t="s">
        <v>63</v>
      </c>
      <c r="J149" s="1"/>
      <c r="K149" s="35" t="s">
        <v>55</v>
      </c>
      <c r="L149" s="35" t="s">
        <v>1329</v>
      </c>
      <c r="M149" s="1" t="s">
        <v>55</v>
      </c>
      <c r="N149" s="35" t="s">
        <v>55</v>
      </c>
      <c r="O149" s="1" t="s">
        <v>55</v>
      </c>
      <c r="P149" s="1" t="s">
        <v>55</v>
      </c>
      <c r="Q149" s="35" t="s">
        <v>55</v>
      </c>
      <c r="R149" s="35" t="s">
        <v>1339</v>
      </c>
      <c r="S149" s="1" t="s">
        <v>1340</v>
      </c>
      <c r="T149" s="1" t="s">
        <v>55</v>
      </c>
      <c r="U149" s="35" t="s">
        <v>55</v>
      </c>
      <c r="V149" s="4" t="s">
        <v>1341</v>
      </c>
      <c r="W149" s="35" t="s">
        <v>59</v>
      </c>
      <c r="X149" s="1" t="s">
        <v>1342</v>
      </c>
      <c r="Y149" s="35" t="s">
        <v>59</v>
      </c>
      <c r="Z149" s="1"/>
      <c r="AA149" s="35" t="s">
        <v>1343</v>
      </c>
      <c r="AB149" s="25" t="s">
        <v>55</v>
      </c>
      <c r="AC149" s="1" t="s">
        <v>1344</v>
      </c>
      <c r="AD149" s="1" t="s">
        <v>66</v>
      </c>
      <c r="AE149" s="1" t="s">
        <v>241</v>
      </c>
      <c r="AF149" s="35" t="s">
        <v>63</v>
      </c>
      <c r="AG149" s="35" t="s">
        <v>63</v>
      </c>
      <c r="AH149" s="35" t="s">
        <v>59</v>
      </c>
      <c r="AI149" s="25" t="s">
        <v>59</v>
      </c>
      <c r="AJ149" s="49" t="s">
        <v>59</v>
      </c>
      <c r="AK149" s="35"/>
      <c r="AL149" s="35" t="s">
        <v>59</v>
      </c>
      <c r="AM149" s="35" t="s">
        <v>59</v>
      </c>
      <c r="AN149" s="35" t="s">
        <v>93</v>
      </c>
      <c r="AO149" s="35"/>
      <c r="AP149" s="35" t="s">
        <v>59</v>
      </c>
      <c r="AQ149" s="25" t="s">
        <v>81</v>
      </c>
      <c r="AR149" s="1"/>
      <c r="AS149" t="str">
        <f t="shared" si="2"/>
        <v/>
      </c>
    </row>
    <row r="150" spans="1:45" ht="48" x14ac:dyDescent="0.2">
      <c r="A150" s="109"/>
      <c r="B150" s="1">
        <v>9</v>
      </c>
      <c r="C150" s="1" t="s">
        <v>1345</v>
      </c>
      <c r="D150" s="1" t="s">
        <v>1326</v>
      </c>
      <c r="E150" s="2" t="s">
        <v>1346</v>
      </c>
      <c r="F150" s="1" t="s">
        <v>417</v>
      </c>
      <c r="G150" s="3">
        <v>2021</v>
      </c>
      <c r="H150" s="1" t="s">
        <v>109</v>
      </c>
      <c r="I150" s="35" t="s">
        <v>63</v>
      </c>
      <c r="J150" s="1"/>
      <c r="K150" s="35">
        <v>100</v>
      </c>
      <c r="L150" s="35" t="s">
        <v>1329</v>
      </c>
      <c r="M150" s="1" t="s">
        <v>55</v>
      </c>
      <c r="N150" s="35">
        <v>9</v>
      </c>
      <c r="O150" s="1" t="s">
        <v>55</v>
      </c>
      <c r="P150" s="1" t="s">
        <v>55</v>
      </c>
      <c r="Q150" s="35" t="s">
        <v>55</v>
      </c>
      <c r="R150" s="35">
        <v>5</v>
      </c>
      <c r="S150" s="1" t="s">
        <v>1347</v>
      </c>
      <c r="T150" s="1" t="s">
        <v>55</v>
      </c>
      <c r="U150" s="35" t="s">
        <v>55</v>
      </c>
      <c r="V150" s="4" t="s">
        <v>311</v>
      </c>
      <c r="W150" s="35" t="s">
        <v>59</v>
      </c>
      <c r="X150" s="1" t="s">
        <v>1332</v>
      </c>
      <c r="Y150" s="35" t="s">
        <v>59</v>
      </c>
      <c r="Z150" s="1"/>
      <c r="AA150" s="35">
        <v>0.24</v>
      </c>
      <c r="AB150" s="25" t="s">
        <v>55</v>
      </c>
      <c r="AC150" s="1" t="s">
        <v>106</v>
      </c>
      <c r="AD150" s="1" t="s">
        <v>66</v>
      </c>
      <c r="AE150" s="1" t="s">
        <v>718</v>
      </c>
      <c r="AF150" s="35" t="s">
        <v>59</v>
      </c>
      <c r="AG150" s="35" t="s">
        <v>63</v>
      </c>
      <c r="AH150" s="35" t="s">
        <v>63</v>
      </c>
      <c r="AI150" s="25" t="s">
        <v>59</v>
      </c>
      <c r="AJ150" s="49" t="s">
        <v>59</v>
      </c>
      <c r="AK150" s="35"/>
      <c r="AL150" s="35" t="s">
        <v>59</v>
      </c>
      <c r="AM150" s="35" t="s">
        <v>59</v>
      </c>
      <c r="AN150" s="35" t="s">
        <v>93</v>
      </c>
      <c r="AO150" s="35"/>
      <c r="AP150" s="35" t="s">
        <v>59</v>
      </c>
      <c r="AQ150" s="25" t="s">
        <v>81</v>
      </c>
      <c r="AR150" s="1"/>
      <c r="AS150" t="str">
        <f t="shared" si="2"/>
        <v/>
      </c>
    </row>
    <row r="151" spans="1:45" ht="176" customHeight="1" x14ac:dyDescent="0.2">
      <c r="A151" s="109"/>
      <c r="B151" s="1">
        <v>8</v>
      </c>
      <c r="C151" s="1" t="s">
        <v>1348</v>
      </c>
      <c r="D151" s="1" t="s">
        <v>1349</v>
      </c>
      <c r="E151" s="2" t="s">
        <v>1350</v>
      </c>
      <c r="F151" s="1" t="s">
        <v>53</v>
      </c>
      <c r="G151" s="3">
        <v>2021</v>
      </c>
      <c r="H151" s="1" t="s">
        <v>54</v>
      </c>
      <c r="I151" s="35" t="s">
        <v>55</v>
      </c>
      <c r="J151" s="1"/>
      <c r="K151" s="35" t="s">
        <v>1351</v>
      </c>
      <c r="L151" s="35" t="s">
        <v>55</v>
      </c>
      <c r="M151" s="1" t="s">
        <v>1352</v>
      </c>
      <c r="N151" s="35">
        <v>4</v>
      </c>
      <c r="O151" s="1" t="s">
        <v>55</v>
      </c>
      <c r="P151" s="1" t="s">
        <v>186</v>
      </c>
      <c r="Q151" s="35" t="s">
        <v>63</v>
      </c>
      <c r="R151" s="35">
        <v>6</v>
      </c>
      <c r="S151" s="1" t="s">
        <v>1353</v>
      </c>
      <c r="T151" s="1" t="s">
        <v>1354</v>
      </c>
      <c r="U151" s="35" t="s">
        <v>112</v>
      </c>
      <c r="V151" s="4" t="s">
        <v>1355</v>
      </c>
      <c r="W151" s="35" t="s">
        <v>63</v>
      </c>
      <c r="X151" s="1" t="s">
        <v>1356</v>
      </c>
      <c r="Y151" s="35" t="s">
        <v>63</v>
      </c>
      <c r="Z151" s="1" t="s">
        <v>1357</v>
      </c>
      <c r="AA151" s="35" t="s">
        <v>1358</v>
      </c>
      <c r="AB151" s="25" t="s">
        <v>1359</v>
      </c>
      <c r="AC151" s="1" t="s">
        <v>213</v>
      </c>
      <c r="AD151" s="1" t="s">
        <v>107</v>
      </c>
      <c r="AE151" s="1" t="s">
        <v>1360</v>
      </c>
      <c r="AF151" s="35" t="s">
        <v>59</v>
      </c>
      <c r="AG151" s="35" t="s">
        <v>63</v>
      </c>
      <c r="AH151" s="35" t="s">
        <v>59</v>
      </c>
      <c r="AI151" s="25" t="s">
        <v>59</v>
      </c>
      <c r="AJ151" s="49" t="s">
        <v>59</v>
      </c>
      <c r="AK151" s="35"/>
      <c r="AL151" s="35" t="s">
        <v>59</v>
      </c>
      <c r="AM151" s="35" t="s">
        <v>59</v>
      </c>
      <c r="AN151" s="35" t="s">
        <v>68</v>
      </c>
      <c r="AO151" s="35" t="s">
        <v>1361</v>
      </c>
      <c r="AP151" s="35" t="s">
        <v>59</v>
      </c>
      <c r="AQ151" s="25" t="s">
        <v>69</v>
      </c>
      <c r="AR151" s="1"/>
      <c r="AS151" t="str">
        <f t="shared" si="2"/>
        <v/>
      </c>
    </row>
    <row r="152" spans="1:45" ht="80" x14ac:dyDescent="0.2">
      <c r="A152" s="109"/>
      <c r="B152" s="1">
        <v>86</v>
      </c>
      <c r="C152" s="1" t="s">
        <v>1362</v>
      </c>
      <c r="D152" s="1" t="s">
        <v>1363</v>
      </c>
      <c r="E152" s="2" t="s">
        <v>1364</v>
      </c>
      <c r="F152" s="1" t="s">
        <v>318</v>
      </c>
      <c r="G152" s="3">
        <v>2018</v>
      </c>
      <c r="H152" s="1" t="s">
        <v>399</v>
      </c>
      <c r="I152" s="35" t="s">
        <v>63</v>
      </c>
      <c r="J152" s="1"/>
      <c r="K152" s="35">
        <v>20</v>
      </c>
      <c r="L152" s="35">
        <v>4</v>
      </c>
      <c r="M152" s="1" t="s">
        <v>55</v>
      </c>
      <c r="N152" s="35">
        <v>6</v>
      </c>
      <c r="O152" s="1" t="s">
        <v>55</v>
      </c>
      <c r="P152" s="1" t="s">
        <v>55</v>
      </c>
      <c r="Q152" s="35" t="s">
        <v>63</v>
      </c>
      <c r="R152" s="35">
        <v>4</v>
      </c>
      <c r="S152" s="1" t="s">
        <v>1365</v>
      </c>
      <c r="T152" s="1" t="s">
        <v>55</v>
      </c>
      <c r="U152" s="35" t="s">
        <v>55</v>
      </c>
      <c r="V152" s="4" t="s">
        <v>543</v>
      </c>
      <c r="W152" s="35" t="s">
        <v>59</v>
      </c>
      <c r="X152" s="1" t="s">
        <v>1366</v>
      </c>
      <c r="Y152" s="35" t="s">
        <v>63</v>
      </c>
      <c r="Z152" s="1" t="s">
        <v>105</v>
      </c>
      <c r="AA152" s="35">
        <v>3.2</v>
      </c>
      <c r="AB152" s="25" t="s">
        <v>1367</v>
      </c>
      <c r="AC152" s="1" t="s">
        <v>55</v>
      </c>
      <c r="AD152" s="1" t="s">
        <v>107</v>
      </c>
      <c r="AE152" s="1" t="s">
        <v>80</v>
      </c>
      <c r="AF152" s="35" t="s">
        <v>59</v>
      </c>
      <c r="AG152" s="35" t="s">
        <v>59</v>
      </c>
      <c r="AH152" s="35" t="s">
        <v>59</v>
      </c>
      <c r="AI152" s="25" t="s">
        <v>59</v>
      </c>
      <c r="AJ152" s="51" t="s">
        <v>386</v>
      </c>
      <c r="AK152" s="34" t="s">
        <v>1368</v>
      </c>
      <c r="AL152" s="35" t="s">
        <v>59</v>
      </c>
      <c r="AM152" s="35" t="s">
        <v>59</v>
      </c>
      <c r="AN152" s="35" t="s">
        <v>68</v>
      </c>
      <c r="AO152" s="35"/>
      <c r="AP152" s="35" t="s">
        <v>59</v>
      </c>
      <c r="AQ152" s="25" t="s">
        <v>81</v>
      </c>
      <c r="AR152" s="1"/>
      <c r="AS152" t="str">
        <f t="shared" si="2"/>
        <v/>
      </c>
    </row>
    <row r="153" spans="1:45" ht="208" customHeight="1" x14ac:dyDescent="0.2">
      <c r="A153" s="109"/>
      <c r="B153" s="1">
        <v>19</v>
      </c>
      <c r="C153" s="1" t="s">
        <v>1369</v>
      </c>
      <c r="D153" s="1" t="s">
        <v>1370</v>
      </c>
      <c r="E153" s="2" t="s">
        <v>1371</v>
      </c>
      <c r="F153" s="1" t="s">
        <v>53</v>
      </c>
      <c r="G153" s="3">
        <v>2013</v>
      </c>
      <c r="H153" s="1" t="s">
        <v>54</v>
      </c>
      <c r="I153" s="35" t="s">
        <v>55</v>
      </c>
      <c r="J153" s="1"/>
      <c r="K153" s="35" t="s">
        <v>55</v>
      </c>
      <c r="L153" s="35" t="s">
        <v>55</v>
      </c>
      <c r="M153" s="1" t="s">
        <v>55</v>
      </c>
      <c r="N153" s="35" t="s">
        <v>55</v>
      </c>
      <c r="O153" s="1" t="s">
        <v>55</v>
      </c>
      <c r="P153" s="1" t="s">
        <v>58</v>
      </c>
      <c r="Q153" s="35" t="s">
        <v>63</v>
      </c>
      <c r="R153" s="35">
        <v>15</v>
      </c>
      <c r="S153" s="1" t="s">
        <v>1372</v>
      </c>
      <c r="T153" s="1" t="s">
        <v>55</v>
      </c>
      <c r="U153" s="35" t="s">
        <v>55</v>
      </c>
      <c r="V153" s="4" t="s">
        <v>1373</v>
      </c>
      <c r="W153" s="35" t="s">
        <v>59</v>
      </c>
      <c r="X153" s="1" t="s">
        <v>55</v>
      </c>
      <c r="Y153" s="35" t="s">
        <v>55</v>
      </c>
      <c r="Z153" s="1" t="s">
        <v>55</v>
      </c>
      <c r="AA153" s="35" t="s">
        <v>1374</v>
      </c>
      <c r="AB153" s="25" t="s">
        <v>55</v>
      </c>
      <c r="AC153" s="1" t="s">
        <v>55</v>
      </c>
      <c r="AD153" s="1" t="s">
        <v>66</v>
      </c>
      <c r="AE153" s="1" t="s">
        <v>1375</v>
      </c>
      <c r="AF153" s="35" t="s">
        <v>59</v>
      </c>
      <c r="AG153" s="35" t="s">
        <v>63</v>
      </c>
      <c r="AH153" s="35" t="s">
        <v>59</v>
      </c>
      <c r="AI153" s="25" t="s">
        <v>59</v>
      </c>
      <c r="AJ153" s="49" t="s">
        <v>59</v>
      </c>
      <c r="AK153" s="35"/>
      <c r="AL153" s="35" t="s">
        <v>59</v>
      </c>
      <c r="AM153" s="35" t="s">
        <v>59</v>
      </c>
      <c r="AN153" s="35" t="s">
        <v>82</v>
      </c>
      <c r="AO153" s="35"/>
      <c r="AP153" s="35" t="s">
        <v>59</v>
      </c>
      <c r="AQ153" s="25" t="s">
        <v>69</v>
      </c>
      <c r="AR153" s="1"/>
      <c r="AS153" t="str">
        <f t="shared" si="2"/>
        <v/>
      </c>
    </row>
    <row r="154" spans="1:45" ht="112" customHeight="1" x14ac:dyDescent="0.2">
      <c r="A154" s="109"/>
      <c r="B154" s="1">
        <v>111</v>
      </c>
      <c r="C154" s="1" t="s">
        <v>1376</v>
      </c>
      <c r="D154" s="1" t="s">
        <v>1377</v>
      </c>
      <c r="E154" s="1" t="s">
        <v>1378</v>
      </c>
      <c r="F154" s="1" t="s">
        <v>72</v>
      </c>
      <c r="G154" s="3">
        <v>2018</v>
      </c>
      <c r="H154" s="1" t="s">
        <v>1175</v>
      </c>
      <c r="I154" s="35" t="s">
        <v>63</v>
      </c>
      <c r="J154" s="1"/>
      <c r="K154" s="35">
        <v>25</v>
      </c>
      <c r="L154" s="35" t="s">
        <v>55</v>
      </c>
      <c r="M154" s="1" t="s">
        <v>55</v>
      </c>
      <c r="N154" s="35">
        <v>8</v>
      </c>
      <c r="O154" s="1" t="s">
        <v>1379</v>
      </c>
      <c r="P154" s="1" t="s">
        <v>55</v>
      </c>
      <c r="Q154" s="35" t="s">
        <v>55</v>
      </c>
      <c r="R154" s="35">
        <v>9</v>
      </c>
      <c r="S154" s="1" t="s">
        <v>1380</v>
      </c>
      <c r="T154" s="1" t="s">
        <v>63</v>
      </c>
      <c r="U154" s="35" t="s">
        <v>55</v>
      </c>
      <c r="V154" s="4" t="s">
        <v>1381</v>
      </c>
      <c r="W154" s="35" t="s">
        <v>63</v>
      </c>
      <c r="X154" s="1" t="s">
        <v>655</v>
      </c>
      <c r="Y154" s="35" t="s">
        <v>63</v>
      </c>
      <c r="Z154" s="1" t="s">
        <v>150</v>
      </c>
      <c r="AA154" s="35">
        <v>5</v>
      </c>
      <c r="AB154" s="25">
        <v>50</v>
      </c>
      <c r="AC154" s="1" t="s">
        <v>65</v>
      </c>
      <c r="AD154" s="1" t="s">
        <v>66</v>
      </c>
      <c r="AE154" s="1" t="s">
        <v>241</v>
      </c>
      <c r="AF154" s="35" t="s">
        <v>63</v>
      </c>
      <c r="AG154" s="35" t="s">
        <v>63</v>
      </c>
      <c r="AH154" s="35" t="s">
        <v>63</v>
      </c>
      <c r="AI154" s="25" t="s">
        <v>59</v>
      </c>
      <c r="AJ154" s="49" t="s">
        <v>59</v>
      </c>
      <c r="AK154" s="35"/>
      <c r="AL154" s="35" t="s">
        <v>59</v>
      </c>
      <c r="AM154" s="35" t="s">
        <v>59</v>
      </c>
      <c r="AN154" s="35" t="s">
        <v>68</v>
      </c>
      <c r="AO154" s="35" t="s">
        <v>1382</v>
      </c>
      <c r="AP154" s="35" t="s">
        <v>59</v>
      </c>
      <c r="AQ154" s="25" t="s">
        <v>81</v>
      </c>
      <c r="AR154" s="1"/>
      <c r="AS154" t="str">
        <f t="shared" si="2"/>
        <v/>
      </c>
    </row>
    <row r="155" spans="1:45" ht="64" customHeight="1" x14ac:dyDescent="0.2">
      <c r="A155" s="109"/>
      <c r="B155" s="1">
        <v>53</v>
      </c>
      <c r="C155" s="1" t="s">
        <v>1383</v>
      </c>
      <c r="D155" s="1" t="s">
        <v>1384</v>
      </c>
      <c r="E155" s="2" t="s">
        <v>1385</v>
      </c>
      <c r="F155" s="1" t="s">
        <v>86</v>
      </c>
      <c r="G155" s="3">
        <v>2009</v>
      </c>
      <c r="H155" s="1" t="s">
        <v>54</v>
      </c>
      <c r="I155" s="35" t="s">
        <v>55</v>
      </c>
      <c r="J155" s="1"/>
      <c r="K155" s="35">
        <v>100</v>
      </c>
      <c r="L155" s="35">
        <v>4</v>
      </c>
      <c r="M155" s="1" t="s">
        <v>1386</v>
      </c>
      <c r="N155" s="35">
        <v>4</v>
      </c>
      <c r="O155" s="1" t="s">
        <v>1387</v>
      </c>
      <c r="P155" s="1" t="s">
        <v>58</v>
      </c>
      <c r="Q155" s="35" t="s">
        <v>63</v>
      </c>
      <c r="R155" s="35">
        <v>7</v>
      </c>
      <c r="S155" s="1" t="s">
        <v>1388</v>
      </c>
      <c r="T155" s="1" t="s">
        <v>55</v>
      </c>
      <c r="U155" s="35" t="s">
        <v>112</v>
      </c>
      <c r="V155" s="4" t="s">
        <v>1389</v>
      </c>
      <c r="W155" s="35" t="s">
        <v>59</v>
      </c>
      <c r="X155" s="1" t="s">
        <v>1390</v>
      </c>
      <c r="Y155" s="35" t="s">
        <v>63</v>
      </c>
      <c r="Z155" s="1" t="s">
        <v>1391</v>
      </c>
      <c r="AA155" s="35">
        <v>0.32</v>
      </c>
      <c r="AB155" s="25">
        <v>50</v>
      </c>
      <c r="AC155" s="54" t="s">
        <v>1392</v>
      </c>
      <c r="AD155" s="1" t="s">
        <v>66</v>
      </c>
      <c r="AE155" s="1" t="s">
        <v>1393</v>
      </c>
      <c r="AF155" s="35" t="s">
        <v>63</v>
      </c>
      <c r="AG155" s="35" t="s">
        <v>59</v>
      </c>
      <c r="AH155" s="35" t="s">
        <v>59</v>
      </c>
      <c r="AI155" s="25" t="s">
        <v>59</v>
      </c>
      <c r="AJ155" s="49" t="s">
        <v>59</v>
      </c>
      <c r="AK155" s="35"/>
      <c r="AL155" s="35" t="s">
        <v>59</v>
      </c>
      <c r="AM155" s="35" t="s">
        <v>59</v>
      </c>
      <c r="AN155" s="35" t="s">
        <v>68</v>
      </c>
      <c r="AO155" s="35"/>
      <c r="AP155" s="35" t="s">
        <v>59</v>
      </c>
      <c r="AQ155" s="25" t="s">
        <v>69</v>
      </c>
      <c r="AR155" s="1"/>
      <c r="AS155" t="str">
        <f t="shared" si="2"/>
        <v/>
      </c>
    </row>
    <row r="156" spans="1:45" ht="64" customHeight="1" x14ac:dyDescent="0.2">
      <c r="A156" s="109"/>
      <c r="B156" s="1">
        <v>36</v>
      </c>
      <c r="C156" s="1" t="s">
        <v>1394</v>
      </c>
      <c r="D156" s="1" t="s">
        <v>1395</v>
      </c>
      <c r="E156" s="2" t="s">
        <v>1396</v>
      </c>
      <c r="F156" s="1" t="s">
        <v>184</v>
      </c>
      <c r="G156" s="3">
        <v>2016</v>
      </c>
      <c r="H156" s="1" t="s">
        <v>109</v>
      </c>
      <c r="I156" s="35" t="s">
        <v>63</v>
      </c>
      <c r="J156" s="1"/>
      <c r="K156" s="35">
        <v>100</v>
      </c>
      <c r="L156" s="35" t="s">
        <v>55</v>
      </c>
      <c r="M156" s="1" t="s">
        <v>55</v>
      </c>
      <c r="N156" s="35" t="s">
        <v>55</v>
      </c>
      <c r="O156" s="1" t="s">
        <v>55</v>
      </c>
      <c r="P156" s="1" t="s">
        <v>55</v>
      </c>
      <c r="Q156" s="35" t="s">
        <v>55</v>
      </c>
      <c r="R156" s="39">
        <v>13</v>
      </c>
      <c r="S156" s="1" t="s">
        <v>1397</v>
      </c>
      <c r="T156" s="1" t="s">
        <v>55</v>
      </c>
      <c r="U156" s="35" t="s">
        <v>55</v>
      </c>
      <c r="V156" s="4" t="s">
        <v>160</v>
      </c>
      <c r="W156" s="35" t="s">
        <v>59</v>
      </c>
      <c r="X156" s="1" t="s">
        <v>55</v>
      </c>
      <c r="Y156" s="35" t="s">
        <v>63</v>
      </c>
      <c r="Z156" s="1" t="s">
        <v>1398</v>
      </c>
      <c r="AA156" s="35">
        <v>1</v>
      </c>
      <c r="AB156" s="25">
        <v>50</v>
      </c>
      <c r="AC156" s="1" t="s">
        <v>65</v>
      </c>
      <c r="AD156" s="1" t="s">
        <v>174</v>
      </c>
      <c r="AE156" s="1" t="s">
        <v>936</v>
      </c>
      <c r="AF156" s="35" t="s">
        <v>1399</v>
      </c>
      <c r="AG156" s="35" t="s">
        <v>63</v>
      </c>
      <c r="AH156" s="35" t="s">
        <v>63</v>
      </c>
      <c r="AI156" s="25" t="s">
        <v>59</v>
      </c>
      <c r="AJ156" s="49" t="s">
        <v>59</v>
      </c>
      <c r="AK156" s="35"/>
      <c r="AL156" s="35" t="s">
        <v>59</v>
      </c>
      <c r="AM156" s="35" t="s">
        <v>59</v>
      </c>
      <c r="AN156" s="35" t="s">
        <v>82</v>
      </c>
      <c r="AO156" s="35"/>
      <c r="AP156" s="35" t="s">
        <v>59</v>
      </c>
      <c r="AQ156" s="25" t="s">
        <v>81</v>
      </c>
      <c r="AR156" s="1"/>
      <c r="AS156" t="str">
        <f t="shared" si="2"/>
        <v/>
      </c>
    </row>
    <row r="157" spans="1:45" ht="144" x14ac:dyDescent="0.2">
      <c r="A157" s="109"/>
      <c r="B157" s="1">
        <v>50</v>
      </c>
      <c r="C157" s="1" t="s">
        <v>1400</v>
      </c>
      <c r="D157" s="1" t="s">
        <v>1401</v>
      </c>
      <c r="E157" s="1" t="s">
        <v>1402</v>
      </c>
      <c r="F157" s="1" t="s">
        <v>72</v>
      </c>
      <c r="G157" s="3">
        <v>2018</v>
      </c>
      <c r="H157" s="1" t="s">
        <v>1175</v>
      </c>
      <c r="I157" s="35" t="s">
        <v>63</v>
      </c>
      <c r="J157" s="1"/>
      <c r="K157" s="35">
        <v>25</v>
      </c>
      <c r="L157" s="35" t="s">
        <v>55</v>
      </c>
      <c r="M157" s="1" t="s">
        <v>55</v>
      </c>
      <c r="N157" s="35">
        <v>8</v>
      </c>
      <c r="O157" s="1" t="s">
        <v>1403</v>
      </c>
      <c r="P157" s="1" t="s">
        <v>58</v>
      </c>
      <c r="Q157" s="35" t="s">
        <v>63</v>
      </c>
      <c r="R157" s="35">
        <v>19</v>
      </c>
      <c r="S157" s="1" t="s">
        <v>1404</v>
      </c>
      <c r="T157" s="1" t="s">
        <v>55</v>
      </c>
      <c r="U157" s="35" t="s">
        <v>134</v>
      </c>
      <c r="V157" s="4" t="s">
        <v>543</v>
      </c>
      <c r="W157" s="35" t="s">
        <v>59</v>
      </c>
      <c r="X157" s="1" t="s">
        <v>1405</v>
      </c>
      <c r="Y157" s="35" t="s">
        <v>63</v>
      </c>
      <c r="Z157" s="1" t="s">
        <v>1406</v>
      </c>
      <c r="AA157" s="35">
        <v>5</v>
      </c>
      <c r="AB157" s="25">
        <v>0</v>
      </c>
      <c r="AC157" s="1" t="s">
        <v>213</v>
      </c>
      <c r="AD157" s="1" t="s">
        <v>66</v>
      </c>
      <c r="AE157" s="1" t="s">
        <v>1407</v>
      </c>
      <c r="AF157" s="35" t="s">
        <v>59</v>
      </c>
      <c r="AG157" s="35" t="s">
        <v>63</v>
      </c>
      <c r="AH157" s="35" t="s">
        <v>59</v>
      </c>
      <c r="AI157" s="25" t="s">
        <v>59</v>
      </c>
      <c r="AJ157" s="49" t="s">
        <v>59</v>
      </c>
      <c r="AK157" s="35"/>
      <c r="AL157" s="35" t="s">
        <v>59</v>
      </c>
      <c r="AM157" s="35" t="s">
        <v>63</v>
      </c>
      <c r="AN157" s="35"/>
      <c r="AO157" s="35"/>
      <c r="AP157" s="35" t="s">
        <v>63</v>
      </c>
      <c r="AQ157" s="25"/>
      <c r="AR157" s="1"/>
      <c r="AS157" t="str">
        <f t="shared" si="2"/>
        <v/>
      </c>
    </row>
    <row r="158" spans="1:45" s="19" customFormat="1" ht="184" customHeight="1" x14ac:dyDescent="0.2">
      <c r="A158" s="109"/>
      <c r="B158" s="1">
        <v>52</v>
      </c>
      <c r="C158" s="1" t="s">
        <v>1408</v>
      </c>
      <c r="D158" s="1" t="s">
        <v>1409</v>
      </c>
      <c r="E158" s="2" t="s">
        <v>1410</v>
      </c>
      <c r="F158" s="1" t="s">
        <v>86</v>
      </c>
      <c r="G158" s="3">
        <v>2024</v>
      </c>
      <c r="H158" s="1" t="s">
        <v>236</v>
      </c>
      <c r="I158" s="35" t="s">
        <v>63</v>
      </c>
      <c r="J158" s="1"/>
      <c r="K158" s="35">
        <v>20</v>
      </c>
      <c r="L158" s="35" t="s">
        <v>55</v>
      </c>
      <c r="M158" s="1" t="s">
        <v>55</v>
      </c>
      <c r="N158" s="35">
        <v>36</v>
      </c>
      <c r="O158" s="1" t="s">
        <v>55</v>
      </c>
      <c r="P158" s="1" t="s">
        <v>58</v>
      </c>
      <c r="Q158" s="35" t="s">
        <v>55</v>
      </c>
      <c r="R158" s="35">
        <v>3</v>
      </c>
      <c r="S158" s="1" t="s">
        <v>1411</v>
      </c>
      <c r="T158" s="1" t="s">
        <v>1412</v>
      </c>
      <c r="U158" s="35" t="s">
        <v>55</v>
      </c>
      <c r="V158" s="4" t="s">
        <v>1413</v>
      </c>
      <c r="W158" s="35" t="s">
        <v>59</v>
      </c>
      <c r="X158" s="1" t="s">
        <v>55</v>
      </c>
      <c r="Y158" s="35" t="s">
        <v>63</v>
      </c>
      <c r="Z158" s="1" t="s">
        <v>1414</v>
      </c>
      <c r="AA158" s="35">
        <v>2</v>
      </c>
      <c r="AB158" s="25" t="s">
        <v>55</v>
      </c>
      <c r="AC158" s="1" t="s">
        <v>65</v>
      </c>
      <c r="AD158" s="1" t="s">
        <v>1415</v>
      </c>
      <c r="AE158" s="1" t="s">
        <v>790</v>
      </c>
      <c r="AF158" s="35" t="s">
        <v>63</v>
      </c>
      <c r="AG158" s="35" t="s">
        <v>59</v>
      </c>
      <c r="AH158" s="35" t="s">
        <v>59</v>
      </c>
      <c r="AI158" s="25" t="s">
        <v>59</v>
      </c>
      <c r="AJ158" s="49" t="s">
        <v>59</v>
      </c>
      <c r="AK158" s="35"/>
      <c r="AL158" s="35" t="s">
        <v>59</v>
      </c>
      <c r="AM158" s="35" t="s">
        <v>59</v>
      </c>
      <c r="AN158" s="35" t="s">
        <v>82</v>
      </c>
      <c r="AO158" s="35"/>
      <c r="AP158" s="35" t="s">
        <v>59</v>
      </c>
      <c r="AQ158" s="25" t="s">
        <v>81</v>
      </c>
      <c r="AR158" s="1"/>
      <c r="AS158" t="str">
        <f t="shared" si="2"/>
        <v/>
      </c>
    </row>
    <row r="159" spans="1:45" ht="90" customHeight="1" x14ac:dyDescent="0.2">
      <c r="A159" s="109"/>
      <c r="B159" s="1">
        <v>64</v>
      </c>
      <c r="C159" s="1" t="s">
        <v>1416</v>
      </c>
      <c r="D159" s="1" t="s">
        <v>1417</v>
      </c>
      <c r="E159" s="1" t="s">
        <v>1418</v>
      </c>
      <c r="F159" s="1" t="s">
        <v>290</v>
      </c>
      <c r="G159" s="3">
        <v>2021</v>
      </c>
      <c r="H159" s="1" t="s">
        <v>54</v>
      </c>
      <c r="I159" s="35" t="s">
        <v>55</v>
      </c>
      <c r="J159" s="1"/>
      <c r="K159" s="35">
        <v>100</v>
      </c>
      <c r="L159" s="35" t="s">
        <v>55</v>
      </c>
      <c r="M159" s="1" t="s">
        <v>1419</v>
      </c>
      <c r="N159" s="35" t="s">
        <v>1420</v>
      </c>
      <c r="O159" s="1" t="s">
        <v>1421</v>
      </c>
      <c r="P159" s="40" t="s">
        <v>58</v>
      </c>
      <c r="Q159" s="35" t="s">
        <v>63</v>
      </c>
      <c r="R159" s="35">
        <v>5</v>
      </c>
      <c r="S159" s="1" t="s">
        <v>1422</v>
      </c>
      <c r="T159" s="1" t="s">
        <v>55</v>
      </c>
      <c r="U159" s="35" t="s">
        <v>55</v>
      </c>
      <c r="V159" s="4" t="s">
        <v>1423</v>
      </c>
      <c r="W159" s="35" t="s">
        <v>63</v>
      </c>
      <c r="X159" s="1" t="s">
        <v>55</v>
      </c>
      <c r="Y159" s="35" t="s">
        <v>63</v>
      </c>
      <c r="Z159" s="1" t="s">
        <v>1424</v>
      </c>
      <c r="AA159" s="35">
        <v>2</v>
      </c>
      <c r="AB159" s="25">
        <v>50</v>
      </c>
      <c r="AC159" s="1" t="s">
        <v>1425</v>
      </c>
      <c r="AD159" s="1" t="s">
        <v>66</v>
      </c>
      <c r="AE159" s="1" t="s">
        <v>241</v>
      </c>
      <c r="AF159" s="35" t="s">
        <v>59</v>
      </c>
      <c r="AG159" s="35" t="s">
        <v>63</v>
      </c>
      <c r="AH159" s="35" t="s">
        <v>59</v>
      </c>
      <c r="AI159" s="25" t="s">
        <v>59</v>
      </c>
      <c r="AJ159" s="49" t="s">
        <v>59</v>
      </c>
      <c r="AK159" s="35"/>
      <c r="AL159" s="35" t="s">
        <v>59</v>
      </c>
      <c r="AM159" s="35" t="s">
        <v>59</v>
      </c>
      <c r="AN159" s="35" t="s">
        <v>82</v>
      </c>
      <c r="AO159" s="35"/>
      <c r="AP159" s="35" t="s">
        <v>59</v>
      </c>
      <c r="AQ159" s="25" t="s">
        <v>69</v>
      </c>
      <c r="AR159" s="1"/>
      <c r="AS159" t="str">
        <f t="shared" si="2"/>
        <v/>
      </c>
    </row>
    <row r="160" spans="1:45" ht="144" customHeight="1" x14ac:dyDescent="0.2">
      <c r="A160" s="109"/>
      <c r="B160" s="1">
        <v>3</v>
      </c>
      <c r="C160" s="1" t="s">
        <v>1426</v>
      </c>
      <c r="D160" s="1" t="s">
        <v>1427</v>
      </c>
      <c r="E160" s="12" t="s">
        <v>1428</v>
      </c>
      <c r="F160" s="1" t="s">
        <v>86</v>
      </c>
      <c r="G160" s="3">
        <v>2023</v>
      </c>
      <c r="H160" s="1" t="s">
        <v>54</v>
      </c>
      <c r="I160" s="35" t="s">
        <v>63</v>
      </c>
      <c r="J160" s="1" t="s">
        <v>1429</v>
      </c>
      <c r="K160" s="35">
        <v>62.5</v>
      </c>
      <c r="L160" s="35" t="s">
        <v>55</v>
      </c>
      <c r="M160" s="1" t="s">
        <v>1430</v>
      </c>
      <c r="N160" s="35">
        <v>12</v>
      </c>
      <c r="O160" s="1" t="s">
        <v>1431</v>
      </c>
      <c r="P160" s="40" t="s">
        <v>58</v>
      </c>
      <c r="Q160" s="35" t="s">
        <v>59</v>
      </c>
      <c r="R160" s="35">
        <v>9</v>
      </c>
      <c r="S160" s="1" t="s">
        <v>1432</v>
      </c>
      <c r="T160" s="1" t="s">
        <v>55</v>
      </c>
      <c r="U160" s="35" t="s">
        <v>55</v>
      </c>
      <c r="V160" s="4" t="s">
        <v>1433</v>
      </c>
      <c r="W160" s="35" t="s">
        <v>63</v>
      </c>
      <c r="X160" s="1" t="s">
        <v>55</v>
      </c>
      <c r="Y160" s="35" t="s">
        <v>63</v>
      </c>
      <c r="Z160" s="1" t="s">
        <v>1434</v>
      </c>
      <c r="AA160" s="35" t="s">
        <v>1435</v>
      </c>
      <c r="AB160" s="25" t="s">
        <v>1436</v>
      </c>
      <c r="AC160" s="1" t="s">
        <v>1437</v>
      </c>
      <c r="AD160" s="1" t="s">
        <v>192</v>
      </c>
      <c r="AE160" s="1" t="s">
        <v>241</v>
      </c>
      <c r="AF160" s="35" t="s">
        <v>63</v>
      </c>
      <c r="AG160" s="35" t="s">
        <v>63</v>
      </c>
      <c r="AH160" s="35" t="s">
        <v>59</v>
      </c>
      <c r="AI160" s="25" t="s">
        <v>59</v>
      </c>
      <c r="AJ160" s="49" t="s">
        <v>59</v>
      </c>
      <c r="AK160" s="35"/>
      <c r="AL160" s="35" t="s">
        <v>59</v>
      </c>
      <c r="AM160" s="35" t="s">
        <v>59</v>
      </c>
      <c r="AN160" s="35" t="s">
        <v>82</v>
      </c>
      <c r="AO160" s="35"/>
      <c r="AP160" s="35" t="s">
        <v>59</v>
      </c>
      <c r="AQ160" s="25" t="s">
        <v>81</v>
      </c>
      <c r="AR160" s="1"/>
      <c r="AS160" t="str">
        <f t="shared" si="2"/>
        <v/>
      </c>
    </row>
    <row r="161" spans="1:45" ht="129" customHeight="1" x14ac:dyDescent="0.2">
      <c r="A161" s="110"/>
      <c r="B161" s="16">
        <v>30</v>
      </c>
      <c r="C161" s="16" t="s">
        <v>1438</v>
      </c>
      <c r="D161" s="16" t="s">
        <v>1439</v>
      </c>
      <c r="E161" s="41" t="s">
        <v>1440</v>
      </c>
      <c r="F161" s="16" t="s">
        <v>472</v>
      </c>
      <c r="G161" s="17">
        <v>2020</v>
      </c>
      <c r="H161" s="16" t="s">
        <v>54</v>
      </c>
      <c r="I161" s="15" t="s">
        <v>55</v>
      </c>
      <c r="J161" s="16"/>
      <c r="K161" s="15">
        <v>14</v>
      </c>
      <c r="L161" s="15">
        <v>8</v>
      </c>
      <c r="M161" s="16" t="s">
        <v>1441</v>
      </c>
      <c r="N161" s="15">
        <v>7</v>
      </c>
      <c r="O161" s="16" t="s">
        <v>1442</v>
      </c>
      <c r="P161" s="67" t="s">
        <v>58</v>
      </c>
      <c r="Q161" s="15" t="s">
        <v>63</v>
      </c>
      <c r="R161" s="15">
        <v>9</v>
      </c>
      <c r="S161" s="16" t="s">
        <v>1443</v>
      </c>
      <c r="T161" s="16" t="s">
        <v>55</v>
      </c>
      <c r="U161" s="15" t="s">
        <v>55</v>
      </c>
      <c r="V161" s="18" t="s">
        <v>1444</v>
      </c>
      <c r="W161" s="15" t="s">
        <v>59</v>
      </c>
      <c r="X161" s="16" t="s">
        <v>55</v>
      </c>
      <c r="Y161" s="15" t="s">
        <v>63</v>
      </c>
      <c r="Z161" s="16" t="s">
        <v>1445</v>
      </c>
      <c r="AA161" s="15">
        <v>1.6</v>
      </c>
      <c r="AB161" s="27">
        <v>50</v>
      </c>
      <c r="AC161" s="16" t="s">
        <v>1446</v>
      </c>
      <c r="AD161" s="16" t="s">
        <v>66</v>
      </c>
      <c r="AE161" s="16" t="s">
        <v>1447</v>
      </c>
      <c r="AF161" s="15" t="s">
        <v>63</v>
      </c>
      <c r="AG161" s="15" t="s">
        <v>63</v>
      </c>
      <c r="AH161" s="15" t="s">
        <v>59</v>
      </c>
      <c r="AI161" s="27" t="s">
        <v>59</v>
      </c>
      <c r="AJ161" s="52" t="s">
        <v>59</v>
      </c>
      <c r="AK161" s="15"/>
      <c r="AL161" s="15" t="s">
        <v>59</v>
      </c>
      <c r="AM161" s="15" t="s">
        <v>59</v>
      </c>
      <c r="AN161" s="15" t="s">
        <v>68</v>
      </c>
      <c r="AO161" s="15"/>
      <c r="AP161" s="15" t="s">
        <v>59</v>
      </c>
      <c r="AQ161" s="27" t="s">
        <v>69</v>
      </c>
      <c r="AR161" s="1"/>
      <c r="AS161" t="str">
        <f t="shared" si="2"/>
        <v/>
      </c>
    </row>
    <row r="162" spans="1:45" ht="112" x14ac:dyDescent="0.2">
      <c r="A162" s="111" t="s">
        <v>1448</v>
      </c>
      <c r="B162" s="42">
        <v>134</v>
      </c>
      <c r="C162" s="42" t="s">
        <v>1449</v>
      </c>
      <c r="D162" s="42" t="s">
        <v>1450</v>
      </c>
      <c r="E162" s="42" t="s">
        <v>1451</v>
      </c>
      <c r="F162" s="42" t="s">
        <v>417</v>
      </c>
      <c r="G162" s="44">
        <v>2018</v>
      </c>
      <c r="H162" s="42" t="s">
        <v>54</v>
      </c>
      <c r="I162" s="46" t="s">
        <v>55</v>
      </c>
      <c r="J162" s="42" t="s">
        <v>1452</v>
      </c>
      <c r="K162" s="46">
        <v>30</v>
      </c>
      <c r="L162" s="46">
        <v>6</v>
      </c>
      <c r="M162" s="42" t="s">
        <v>179</v>
      </c>
      <c r="N162" s="46">
        <v>22</v>
      </c>
      <c r="O162" s="42" t="s">
        <v>150</v>
      </c>
      <c r="P162" s="42" t="s">
        <v>58</v>
      </c>
      <c r="Q162" s="46" t="s">
        <v>55</v>
      </c>
      <c r="R162" s="46" t="s">
        <v>1453</v>
      </c>
      <c r="S162" s="42" t="s">
        <v>1454</v>
      </c>
      <c r="T162" s="70" t="s">
        <v>1455</v>
      </c>
      <c r="U162" s="46" t="s">
        <v>55</v>
      </c>
      <c r="V162" s="45" t="s">
        <v>1456</v>
      </c>
      <c r="W162" s="46" t="s">
        <v>63</v>
      </c>
      <c r="X162" s="42" t="s">
        <v>222</v>
      </c>
      <c r="Y162" s="46" t="s">
        <v>63</v>
      </c>
      <c r="Z162" s="42" t="s">
        <v>1457</v>
      </c>
      <c r="AA162" s="46">
        <v>10</v>
      </c>
      <c r="AB162" s="47">
        <v>0</v>
      </c>
      <c r="AC162" s="42" t="s">
        <v>120</v>
      </c>
      <c r="AD162" s="42" t="s">
        <v>865</v>
      </c>
      <c r="AE162" s="42" t="s">
        <v>635</v>
      </c>
      <c r="AF162" s="46" t="s">
        <v>63</v>
      </c>
      <c r="AG162" s="46" t="s">
        <v>1336</v>
      </c>
      <c r="AH162" s="46" t="s">
        <v>59</v>
      </c>
      <c r="AI162" s="47" t="s">
        <v>59</v>
      </c>
      <c r="AJ162" s="53" t="s">
        <v>59</v>
      </c>
      <c r="AK162" s="46"/>
      <c r="AL162" s="46" t="s">
        <v>59</v>
      </c>
      <c r="AM162" s="46" t="s">
        <v>63</v>
      </c>
      <c r="AN162" s="46"/>
      <c r="AO162" s="46"/>
      <c r="AP162" s="46" t="s">
        <v>59</v>
      </c>
      <c r="AQ162" s="47" t="s">
        <v>69</v>
      </c>
      <c r="AR162" s="1"/>
      <c r="AS162" t="str">
        <f t="shared" si="2"/>
        <v/>
      </c>
    </row>
    <row r="163" spans="1:45" ht="96" x14ac:dyDescent="0.2">
      <c r="A163" s="112"/>
      <c r="B163" s="1">
        <v>138</v>
      </c>
      <c r="C163" s="1" t="s">
        <v>1458</v>
      </c>
      <c r="D163" s="1" t="s">
        <v>1450</v>
      </c>
      <c r="E163" s="1" t="s">
        <v>1459</v>
      </c>
      <c r="F163" s="1" t="s">
        <v>976</v>
      </c>
      <c r="G163" s="3">
        <v>2020</v>
      </c>
      <c r="H163" s="1" t="s">
        <v>54</v>
      </c>
      <c r="I163" s="35" t="s">
        <v>55</v>
      </c>
      <c r="J163" s="1" t="s">
        <v>1452</v>
      </c>
      <c r="K163" s="35">
        <v>100</v>
      </c>
      <c r="L163" s="35">
        <v>6</v>
      </c>
      <c r="M163" s="1" t="s">
        <v>1460</v>
      </c>
      <c r="N163" s="35">
        <v>31</v>
      </c>
      <c r="O163" s="1" t="s">
        <v>1461</v>
      </c>
      <c r="P163" s="1" t="s">
        <v>1462</v>
      </c>
      <c r="Q163" s="35" t="s">
        <v>59</v>
      </c>
      <c r="R163" s="35" t="s">
        <v>1463</v>
      </c>
      <c r="S163" s="1" t="s">
        <v>1464</v>
      </c>
      <c r="T163" s="1" t="s">
        <v>67</v>
      </c>
      <c r="U163" s="35" t="s">
        <v>147</v>
      </c>
      <c r="V163" s="4" t="s">
        <v>1465</v>
      </c>
      <c r="W163" s="35" t="s">
        <v>63</v>
      </c>
      <c r="X163" s="1" t="s">
        <v>55</v>
      </c>
      <c r="Y163" s="35" t="s">
        <v>63</v>
      </c>
      <c r="Z163" s="1" t="s">
        <v>1466</v>
      </c>
      <c r="AA163" s="35">
        <v>15</v>
      </c>
      <c r="AB163" s="25">
        <v>0</v>
      </c>
      <c r="AC163" s="1" t="s">
        <v>55</v>
      </c>
      <c r="AD163" s="40" t="s">
        <v>66</v>
      </c>
      <c r="AE163" s="1" t="s">
        <v>1467</v>
      </c>
      <c r="AF163" s="35" t="s">
        <v>63</v>
      </c>
      <c r="AG163" s="35" t="s">
        <v>63</v>
      </c>
      <c r="AH163" s="35" t="s">
        <v>59</v>
      </c>
      <c r="AI163" s="25" t="s">
        <v>59</v>
      </c>
      <c r="AJ163" s="49" t="s">
        <v>59</v>
      </c>
      <c r="AK163" s="35"/>
      <c r="AL163" s="35" t="s">
        <v>59</v>
      </c>
      <c r="AM163" s="35" t="s">
        <v>59</v>
      </c>
      <c r="AN163" s="35" t="s">
        <v>68</v>
      </c>
      <c r="AO163" s="35"/>
      <c r="AP163" s="35" t="s">
        <v>59</v>
      </c>
      <c r="AQ163" s="25" t="s">
        <v>69</v>
      </c>
      <c r="AR163" s="1"/>
      <c r="AS163" t="str">
        <f t="shared" si="2"/>
        <v/>
      </c>
    </row>
    <row r="164" spans="1:45" ht="272" x14ac:dyDescent="0.2">
      <c r="A164" s="112"/>
      <c r="B164" s="1">
        <v>12</v>
      </c>
      <c r="C164" s="1" t="s">
        <v>1468</v>
      </c>
      <c r="D164" s="1" t="s">
        <v>1469</v>
      </c>
      <c r="E164" s="2" t="s">
        <v>1470</v>
      </c>
      <c r="F164" s="1" t="s">
        <v>86</v>
      </c>
      <c r="G164" s="3">
        <v>2020</v>
      </c>
      <c r="H164" s="1" t="s">
        <v>54</v>
      </c>
      <c r="I164" s="35" t="s">
        <v>63</v>
      </c>
      <c r="J164" s="1"/>
      <c r="K164" s="35">
        <v>30</v>
      </c>
      <c r="L164" s="35" t="s">
        <v>55</v>
      </c>
      <c r="M164" s="1" t="s">
        <v>1460</v>
      </c>
      <c r="N164" s="35">
        <v>38</v>
      </c>
      <c r="O164" s="1" t="s">
        <v>1471</v>
      </c>
      <c r="P164" s="1" t="s">
        <v>58</v>
      </c>
      <c r="Q164" s="35" t="s">
        <v>63</v>
      </c>
      <c r="R164" s="35">
        <v>3</v>
      </c>
      <c r="S164" s="1" t="s">
        <v>1472</v>
      </c>
      <c r="T164" s="1" t="s">
        <v>1473</v>
      </c>
      <c r="U164" s="35" t="s">
        <v>55</v>
      </c>
      <c r="V164" s="4" t="s">
        <v>543</v>
      </c>
      <c r="W164" s="35" t="s">
        <v>59</v>
      </c>
      <c r="X164" s="1" t="s">
        <v>222</v>
      </c>
      <c r="Y164" s="35" t="s">
        <v>63</v>
      </c>
      <c r="Z164" s="1" t="s">
        <v>1474</v>
      </c>
      <c r="AA164" s="35">
        <v>10</v>
      </c>
      <c r="AB164" s="25">
        <v>0</v>
      </c>
      <c r="AC164" s="1" t="s">
        <v>120</v>
      </c>
      <c r="AD164" s="1" t="s">
        <v>66</v>
      </c>
      <c r="AE164" s="1" t="s">
        <v>1475</v>
      </c>
      <c r="AF164" s="35" t="s">
        <v>63</v>
      </c>
      <c r="AG164" s="35" t="s">
        <v>63</v>
      </c>
      <c r="AH164" s="35" t="s">
        <v>59</v>
      </c>
      <c r="AI164" s="25" t="s">
        <v>59</v>
      </c>
      <c r="AJ164" s="49" t="s">
        <v>63</v>
      </c>
      <c r="AK164" s="34" t="s">
        <v>1476</v>
      </c>
      <c r="AL164" s="35" t="s">
        <v>63</v>
      </c>
      <c r="AM164" s="35" t="s">
        <v>63</v>
      </c>
      <c r="AN164" s="35"/>
      <c r="AO164" s="35"/>
      <c r="AP164" s="35" t="s">
        <v>63</v>
      </c>
      <c r="AQ164" s="25"/>
      <c r="AR164" s="1"/>
      <c r="AS164" t="str">
        <f t="shared" si="2"/>
        <v/>
      </c>
    </row>
    <row r="165" spans="1:45" ht="160" x14ac:dyDescent="0.2">
      <c r="A165" s="112"/>
      <c r="B165" s="1">
        <v>1</v>
      </c>
      <c r="C165" s="1" t="s">
        <v>1477</v>
      </c>
      <c r="D165" s="1" t="s">
        <v>1478</v>
      </c>
      <c r="E165" s="2" t="s">
        <v>1479</v>
      </c>
      <c r="F165" s="1" t="s">
        <v>1480</v>
      </c>
      <c r="G165" s="3">
        <v>2020</v>
      </c>
      <c r="H165" s="1" t="s">
        <v>54</v>
      </c>
      <c r="I165" s="35" t="s">
        <v>63</v>
      </c>
      <c r="J165" s="1"/>
      <c r="K165" s="39">
        <v>100</v>
      </c>
      <c r="L165" s="39">
        <v>6</v>
      </c>
      <c r="M165" s="40" t="s">
        <v>1460</v>
      </c>
      <c r="N165" s="39">
        <v>31</v>
      </c>
      <c r="O165" s="40" t="s">
        <v>1481</v>
      </c>
      <c r="P165" s="40" t="s">
        <v>1482</v>
      </c>
      <c r="Q165" s="39" t="s">
        <v>55</v>
      </c>
      <c r="R165" s="39">
        <v>5</v>
      </c>
      <c r="S165" s="40" t="s">
        <v>1483</v>
      </c>
      <c r="T165" s="40" t="s">
        <v>150</v>
      </c>
      <c r="U165" s="39" t="s">
        <v>147</v>
      </c>
      <c r="V165" s="14" t="s">
        <v>543</v>
      </c>
      <c r="W165" s="39" t="s">
        <v>59</v>
      </c>
      <c r="X165" s="40" t="s">
        <v>1484</v>
      </c>
      <c r="Y165" s="39" t="s">
        <v>63</v>
      </c>
      <c r="Z165" s="40" t="s">
        <v>1485</v>
      </c>
      <c r="AA165" s="39" t="s">
        <v>1486</v>
      </c>
      <c r="AB165" s="26">
        <v>0</v>
      </c>
      <c r="AC165" s="40" t="s">
        <v>120</v>
      </c>
      <c r="AD165" s="40" t="s">
        <v>174</v>
      </c>
      <c r="AE165" s="40" t="s">
        <v>80</v>
      </c>
      <c r="AF165" s="39" t="s">
        <v>63</v>
      </c>
      <c r="AG165" s="39" t="s">
        <v>63</v>
      </c>
      <c r="AH165" s="39" t="s">
        <v>59</v>
      </c>
      <c r="AI165" s="26" t="s">
        <v>59</v>
      </c>
      <c r="AJ165" s="51" t="s">
        <v>63</v>
      </c>
      <c r="AK165" s="34" t="s">
        <v>1487</v>
      </c>
      <c r="AL165" s="39" t="s">
        <v>63</v>
      </c>
      <c r="AM165" s="39" t="s">
        <v>63</v>
      </c>
      <c r="AN165" s="35"/>
      <c r="AO165" s="35"/>
      <c r="AP165" s="35" t="s">
        <v>63</v>
      </c>
      <c r="AQ165" s="25"/>
      <c r="AR165" s="1"/>
      <c r="AS165" t="str">
        <f t="shared" si="2"/>
        <v/>
      </c>
    </row>
    <row r="166" spans="1:45" ht="48" x14ac:dyDescent="0.2">
      <c r="A166" s="112"/>
      <c r="B166" s="1">
        <v>33</v>
      </c>
      <c r="C166" s="1" t="s">
        <v>1488</v>
      </c>
      <c r="D166" s="1" t="s">
        <v>1489</v>
      </c>
      <c r="E166" s="2" t="s">
        <v>1490</v>
      </c>
      <c r="F166" s="1" t="s">
        <v>417</v>
      </c>
      <c r="G166" s="3">
        <v>2021</v>
      </c>
      <c r="H166" s="1" t="s">
        <v>236</v>
      </c>
      <c r="I166" s="35" t="s">
        <v>63</v>
      </c>
      <c r="J166" s="1"/>
      <c r="K166" s="35">
        <v>20</v>
      </c>
      <c r="L166" s="35" t="s">
        <v>55</v>
      </c>
      <c r="M166" s="1" t="s">
        <v>55</v>
      </c>
      <c r="N166" s="35">
        <v>51</v>
      </c>
      <c r="O166" s="1" t="s">
        <v>55</v>
      </c>
      <c r="P166" s="1" t="s">
        <v>55</v>
      </c>
      <c r="Q166" s="35" t="s">
        <v>63</v>
      </c>
      <c r="R166" s="35">
        <v>18</v>
      </c>
      <c r="S166" s="1" t="s">
        <v>1491</v>
      </c>
      <c r="T166" s="1" t="s">
        <v>55</v>
      </c>
      <c r="U166" s="35" t="s">
        <v>112</v>
      </c>
      <c r="V166" s="4" t="s">
        <v>1492</v>
      </c>
      <c r="W166" s="35" t="s">
        <v>63</v>
      </c>
      <c r="X166" s="1" t="s">
        <v>1493</v>
      </c>
      <c r="Y166" s="35" t="s">
        <v>59</v>
      </c>
      <c r="Z166" s="1"/>
      <c r="AA166" s="35">
        <v>10</v>
      </c>
      <c r="AB166" s="25" t="s">
        <v>55</v>
      </c>
      <c r="AC166" s="1" t="s">
        <v>213</v>
      </c>
      <c r="AD166" s="1" t="s">
        <v>66</v>
      </c>
      <c r="AE166" s="1" t="s">
        <v>241</v>
      </c>
      <c r="AF166" s="35" t="s">
        <v>63</v>
      </c>
      <c r="AG166" s="35" t="s">
        <v>63</v>
      </c>
      <c r="AH166" s="35" t="s">
        <v>59</v>
      </c>
      <c r="AI166" s="25" t="s">
        <v>59</v>
      </c>
      <c r="AJ166" s="49" t="s">
        <v>59</v>
      </c>
      <c r="AK166" s="35"/>
      <c r="AL166" s="35" t="s">
        <v>59</v>
      </c>
      <c r="AM166" s="35" t="s">
        <v>59</v>
      </c>
      <c r="AN166" s="35" t="s">
        <v>68</v>
      </c>
      <c r="AO166" s="35"/>
      <c r="AP166" s="35" t="s">
        <v>59</v>
      </c>
      <c r="AQ166" s="25" t="s">
        <v>81</v>
      </c>
      <c r="AR166" s="1"/>
      <c r="AS166" t="str">
        <f t="shared" si="2"/>
        <v/>
      </c>
    </row>
    <row r="167" spans="1:45" ht="32" x14ac:dyDescent="0.2">
      <c r="A167" s="112"/>
      <c r="B167" s="114">
        <v>82</v>
      </c>
      <c r="C167" s="114" t="s">
        <v>1494</v>
      </c>
      <c r="D167" s="114" t="s">
        <v>1495</v>
      </c>
      <c r="E167" s="126" t="s">
        <v>1496</v>
      </c>
      <c r="F167" s="114" t="s">
        <v>459</v>
      </c>
      <c r="G167" s="122">
        <v>2021</v>
      </c>
      <c r="H167" s="114" t="s">
        <v>54</v>
      </c>
      <c r="I167" s="92" t="s">
        <v>55</v>
      </c>
      <c r="J167" s="114"/>
      <c r="K167" s="92">
        <v>32</v>
      </c>
      <c r="L167" s="92" t="s">
        <v>55</v>
      </c>
      <c r="M167" s="114" t="s">
        <v>1497</v>
      </c>
      <c r="N167" s="92">
        <v>20</v>
      </c>
      <c r="O167" s="114" t="s">
        <v>1498</v>
      </c>
      <c r="P167" s="114" t="s">
        <v>186</v>
      </c>
      <c r="Q167" s="92" t="s">
        <v>59</v>
      </c>
      <c r="R167" s="35" t="s">
        <v>1499</v>
      </c>
      <c r="S167" s="1" t="s">
        <v>150</v>
      </c>
      <c r="T167" s="114" t="s">
        <v>1500</v>
      </c>
      <c r="U167" s="92" t="s">
        <v>147</v>
      </c>
      <c r="V167" s="4" t="s">
        <v>1501</v>
      </c>
      <c r="W167" s="92" t="s">
        <v>63</v>
      </c>
      <c r="X167" s="114" t="s">
        <v>1502</v>
      </c>
      <c r="Y167" s="92" t="s">
        <v>253</v>
      </c>
      <c r="Z167" s="114" t="s">
        <v>1503</v>
      </c>
      <c r="AA167" s="35">
        <v>4</v>
      </c>
      <c r="AB167" s="25">
        <v>50</v>
      </c>
      <c r="AC167" s="114" t="s">
        <v>1446</v>
      </c>
      <c r="AD167" s="114" t="s">
        <v>192</v>
      </c>
      <c r="AE167" s="1" t="s">
        <v>1504</v>
      </c>
      <c r="AF167" s="92" t="s">
        <v>63</v>
      </c>
      <c r="AG167" s="92" t="s">
        <v>59</v>
      </c>
      <c r="AH167" s="92" t="s">
        <v>59</v>
      </c>
      <c r="AI167" s="91" t="s">
        <v>59</v>
      </c>
      <c r="AJ167" s="95" t="s">
        <v>59</v>
      </c>
      <c r="AK167" s="92"/>
      <c r="AL167" s="92" t="s">
        <v>59</v>
      </c>
      <c r="AM167" s="92" t="s">
        <v>63</v>
      </c>
      <c r="AN167" s="92"/>
      <c r="AO167" s="35"/>
      <c r="AP167" s="92" t="s">
        <v>59</v>
      </c>
      <c r="AQ167" s="91" t="s">
        <v>69</v>
      </c>
      <c r="AR167" s="1"/>
      <c r="AS167" t="str">
        <f t="shared" si="2"/>
        <v/>
      </c>
    </row>
    <row r="168" spans="1:45" x14ac:dyDescent="0.2">
      <c r="A168" s="112"/>
      <c r="B168" s="114"/>
      <c r="C168" s="114"/>
      <c r="D168" s="114"/>
      <c r="E168" s="126"/>
      <c r="F168" s="114"/>
      <c r="G168" s="122"/>
      <c r="H168" s="114"/>
      <c r="I168" s="92"/>
      <c r="J168" s="114"/>
      <c r="K168" s="92"/>
      <c r="L168" s="92"/>
      <c r="M168" s="114"/>
      <c r="N168" s="92"/>
      <c r="O168" s="114"/>
      <c r="P168" s="114"/>
      <c r="Q168" s="92"/>
      <c r="R168" s="35">
        <v>4</v>
      </c>
      <c r="S168" s="1" t="s">
        <v>1505</v>
      </c>
      <c r="T168" s="114"/>
      <c r="U168" s="92"/>
      <c r="V168" s="4" t="s">
        <v>1506</v>
      </c>
      <c r="W168" s="92"/>
      <c r="X168" s="114"/>
      <c r="Y168" s="92"/>
      <c r="Z168" s="114"/>
      <c r="AA168" s="35">
        <v>60</v>
      </c>
      <c r="AB168" s="25">
        <v>0</v>
      </c>
      <c r="AC168" s="114"/>
      <c r="AD168" s="114"/>
      <c r="AE168" s="1" t="s">
        <v>241</v>
      </c>
      <c r="AF168" s="92"/>
      <c r="AG168" s="92"/>
      <c r="AH168" s="92"/>
      <c r="AI168" s="91"/>
      <c r="AJ168" s="95"/>
      <c r="AK168" s="92"/>
      <c r="AL168" s="92"/>
      <c r="AM168" s="92"/>
      <c r="AN168" s="92"/>
      <c r="AO168" s="35"/>
      <c r="AP168" s="92"/>
      <c r="AQ168" s="91"/>
      <c r="AR168" s="1"/>
      <c r="AS168" t="str">
        <f t="shared" si="2"/>
        <v/>
      </c>
    </row>
    <row r="169" spans="1:45" ht="48" x14ac:dyDescent="0.2">
      <c r="A169" s="112"/>
      <c r="B169" s="114">
        <v>75</v>
      </c>
      <c r="C169" s="114" t="s">
        <v>1507</v>
      </c>
      <c r="D169" s="114" t="s">
        <v>1508</v>
      </c>
      <c r="E169" s="125" t="s">
        <v>1509</v>
      </c>
      <c r="F169" s="114" t="s">
        <v>86</v>
      </c>
      <c r="G169" s="122">
        <v>2020</v>
      </c>
      <c r="H169" s="114" t="s">
        <v>54</v>
      </c>
      <c r="I169" s="92" t="s">
        <v>55</v>
      </c>
      <c r="J169" s="114"/>
      <c r="K169" s="92">
        <v>100</v>
      </c>
      <c r="L169" s="92">
        <v>8</v>
      </c>
      <c r="M169" s="114" t="s">
        <v>1510</v>
      </c>
      <c r="N169" s="92">
        <v>30</v>
      </c>
      <c r="O169" s="114" t="s">
        <v>1511</v>
      </c>
      <c r="P169" s="114" t="s">
        <v>58</v>
      </c>
      <c r="Q169" s="92" t="s">
        <v>59</v>
      </c>
      <c r="R169" s="35">
        <v>9</v>
      </c>
      <c r="S169" s="1" t="s">
        <v>1512</v>
      </c>
      <c r="T169" s="114" t="s">
        <v>55</v>
      </c>
      <c r="U169" s="92" t="s">
        <v>147</v>
      </c>
      <c r="V169" s="115" t="s">
        <v>1513</v>
      </c>
      <c r="W169" s="92" t="s">
        <v>63</v>
      </c>
      <c r="X169" s="114" t="s">
        <v>1514</v>
      </c>
      <c r="Y169" s="92" t="s">
        <v>63</v>
      </c>
      <c r="Z169" s="114" t="s">
        <v>1515</v>
      </c>
      <c r="AA169" s="92">
        <v>2</v>
      </c>
      <c r="AB169" s="91" t="s">
        <v>55</v>
      </c>
      <c r="AC169" s="114" t="s">
        <v>65</v>
      </c>
      <c r="AD169" s="114" t="s">
        <v>66</v>
      </c>
      <c r="AE169" s="114" t="s">
        <v>80</v>
      </c>
      <c r="AF169" s="92" t="s">
        <v>59</v>
      </c>
      <c r="AG169" s="92" t="s">
        <v>59</v>
      </c>
      <c r="AH169" s="92" t="s">
        <v>59</v>
      </c>
      <c r="AI169" s="91" t="s">
        <v>59</v>
      </c>
      <c r="AJ169" s="95" t="s">
        <v>59</v>
      </c>
      <c r="AK169" s="92"/>
      <c r="AL169" s="92" t="s">
        <v>59</v>
      </c>
      <c r="AM169" s="92" t="s">
        <v>59</v>
      </c>
      <c r="AN169" s="92" t="s">
        <v>93</v>
      </c>
      <c r="AO169" s="35"/>
      <c r="AP169" s="92" t="s">
        <v>59</v>
      </c>
      <c r="AQ169" s="91" t="s">
        <v>69</v>
      </c>
      <c r="AR169" s="1"/>
      <c r="AS169" t="str">
        <f t="shared" si="2"/>
        <v/>
      </c>
    </row>
    <row r="170" spans="1:45" x14ac:dyDescent="0.2">
      <c r="A170" s="112"/>
      <c r="B170" s="114"/>
      <c r="C170" s="114"/>
      <c r="D170" s="114"/>
      <c r="E170" s="114"/>
      <c r="F170" s="114"/>
      <c r="G170" s="122"/>
      <c r="H170" s="114"/>
      <c r="I170" s="92"/>
      <c r="J170" s="114"/>
      <c r="K170" s="92"/>
      <c r="L170" s="92"/>
      <c r="M170" s="114"/>
      <c r="N170" s="92"/>
      <c r="O170" s="114"/>
      <c r="P170" s="114"/>
      <c r="Q170" s="92"/>
      <c r="R170" s="35">
        <v>3</v>
      </c>
      <c r="S170" s="1" t="s">
        <v>1516</v>
      </c>
      <c r="T170" s="114"/>
      <c r="U170" s="92"/>
      <c r="V170" s="115"/>
      <c r="W170" s="92"/>
      <c r="X170" s="114"/>
      <c r="Y170" s="92"/>
      <c r="Z170" s="114"/>
      <c r="AA170" s="92"/>
      <c r="AB170" s="91"/>
      <c r="AC170" s="114"/>
      <c r="AD170" s="114"/>
      <c r="AE170" s="114"/>
      <c r="AF170" s="92"/>
      <c r="AG170" s="92"/>
      <c r="AH170" s="92"/>
      <c r="AI170" s="91"/>
      <c r="AJ170" s="95"/>
      <c r="AK170" s="92"/>
      <c r="AL170" s="92"/>
      <c r="AM170" s="92"/>
      <c r="AN170" s="92"/>
      <c r="AO170" s="35"/>
      <c r="AP170" s="92"/>
      <c r="AQ170" s="91"/>
      <c r="AR170" s="1"/>
      <c r="AS170" t="str">
        <f t="shared" si="2"/>
        <v/>
      </c>
    </row>
    <row r="171" spans="1:45" ht="114" customHeight="1" x14ac:dyDescent="0.2">
      <c r="A171" s="112"/>
      <c r="B171" s="1">
        <v>128</v>
      </c>
      <c r="C171" s="1" t="s">
        <v>1517</v>
      </c>
      <c r="D171" s="1" t="s">
        <v>1518</v>
      </c>
      <c r="E171" s="1" t="s">
        <v>1519</v>
      </c>
      <c r="F171" s="1" t="s">
        <v>976</v>
      </c>
      <c r="G171" s="3">
        <v>2015</v>
      </c>
      <c r="H171" s="1" t="s">
        <v>54</v>
      </c>
      <c r="I171" s="35" t="s">
        <v>55</v>
      </c>
      <c r="J171" s="1"/>
      <c r="K171" s="35">
        <v>30</v>
      </c>
      <c r="L171" s="35" t="s">
        <v>55</v>
      </c>
      <c r="M171" s="1" t="s">
        <v>977</v>
      </c>
      <c r="N171" s="35">
        <v>20</v>
      </c>
      <c r="O171" s="1" t="s">
        <v>1520</v>
      </c>
      <c r="P171" s="1" t="s">
        <v>58</v>
      </c>
      <c r="Q171" s="35" t="s">
        <v>63</v>
      </c>
      <c r="R171" s="35" t="s">
        <v>1521</v>
      </c>
      <c r="S171" s="1" t="s">
        <v>1522</v>
      </c>
      <c r="T171" s="1" t="s">
        <v>105</v>
      </c>
      <c r="U171" s="35" t="s">
        <v>134</v>
      </c>
      <c r="V171" s="4" t="s">
        <v>1523</v>
      </c>
      <c r="W171" s="35" t="s">
        <v>63</v>
      </c>
      <c r="X171" s="1" t="s">
        <v>1524</v>
      </c>
      <c r="Y171" s="35" t="s">
        <v>63</v>
      </c>
      <c r="Z171" s="1" t="s">
        <v>1525</v>
      </c>
      <c r="AA171" s="35" t="s">
        <v>55</v>
      </c>
      <c r="AB171" s="25" t="s">
        <v>55</v>
      </c>
      <c r="AC171" s="1" t="s">
        <v>213</v>
      </c>
      <c r="AD171" s="1" t="s">
        <v>66</v>
      </c>
      <c r="AE171" s="1" t="s">
        <v>1526</v>
      </c>
      <c r="AF171" s="35" t="s">
        <v>63</v>
      </c>
      <c r="AG171" s="35" t="s">
        <v>63</v>
      </c>
      <c r="AH171" s="35" t="s">
        <v>59</v>
      </c>
      <c r="AI171" s="25" t="s">
        <v>59</v>
      </c>
      <c r="AJ171" s="49" t="s">
        <v>59</v>
      </c>
      <c r="AK171" s="35"/>
      <c r="AL171" s="35" t="s">
        <v>59</v>
      </c>
      <c r="AM171" s="35" t="s">
        <v>59</v>
      </c>
      <c r="AN171" s="35" t="s">
        <v>68</v>
      </c>
      <c r="AO171" s="35"/>
      <c r="AP171" s="35" t="s">
        <v>59</v>
      </c>
      <c r="AQ171" s="25" t="s">
        <v>69</v>
      </c>
      <c r="AR171" s="1"/>
      <c r="AS171" t="str">
        <f t="shared" si="2"/>
        <v/>
      </c>
    </row>
    <row r="172" spans="1:45" ht="80" x14ac:dyDescent="0.2">
      <c r="A172" s="112"/>
      <c r="B172" s="1">
        <v>129</v>
      </c>
      <c r="C172" s="1" t="s">
        <v>1527</v>
      </c>
      <c r="D172" s="1" t="s">
        <v>1528</v>
      </c>
      <c r="E172" s="1" t="s">
        <v>1529</v>
      </c>
      <c r="F172" s="1" t="s">
        <v>1530</v>
      </c>
      <c r="G172" s="3">
        <v>2022</v>
      </c>
      <c r="H172" s="1" t="s">
        <v>54</v>
      </c>
      <c r="I172" s="35" t="s">
        <v>63</v>
      </c>
      <c r="J172" s="1" t="s">
        <v>1531</v>
      </c>
      <c r="K172" s="35">
        <v>32</v>
      </c>
      <c r="L172" s="35" t="s">
        <v>55</v>
      </c>
      <c r="M172" s="1" t="s">
        <v>177</v>
      </c>
      <c r="N172" s="35">
        <v>37</v>
      </c>
      <c r="O172" s="1" t="s">
        <v>105</v>
      </c>
      <c r="P172" s="40" t="s">
        <v>58</v>
      </c>
      <c r="Q172" s="35" t="s">
        <v>59</v>
      </c>
      <c r="R172" s="35">
        <v>10</v>
      </c>
      <c r="S172" s="1" t="s">
        <v>1532</v>
      </c>
      <c r="T172" s="1" t="s">
        <v>55</v>
      </c>
      <c r="U172" s="35" t="s">
        <v>112</v>
      </c>
      <c r="V172" s="4" t="s">
        <v>1533</v>
      </c>
      <c r="W172" s="35" t="s">
        <v>63</v>
      </c>
      <c r="X172" s="1" t="s">
        <v>55</v>
      </c>
      <c r="Y172" s="35" t="s">
        <v>63</v>
      </c>
      <c r="Z172" s="1" t="s">
        <v>1534</v>
      </c>
      <c r="AA172" s="35" t="s">
        <v>1535</v>
      </c>
      <c r="AB172" s="25">
        <v>0</v>
      </c>
      <c r="AC172" s="1" t="s">
        <v>106</v>
      </c>
      <c r="AD172" s="1" t="s">
        <v>592</v>
      </c>
      <c r="AE172" s="1" t="s">
        <v>1536</v>
      </c>
      <c r="AF172" s="35" t="s">
        <v>63</v>
      </c>
      <c r="AG172" s="35" t="s">
        <v>59</v>
      </c>
      <c r="AH172" s="35" t="s">
        <v>59</v>
      </c>
      <c r="AI172" s="25" t="s">
        <v>59</v>
      </c>
      <c r="AJ172" s="49" t="s">
        <v>63</v>
      </c>
      <c r="AK172" s="35" t="s">
        <v>1531</v>
      </c>
      <c r="AL172" s="35" t="s">
        <v>59</v>
      </c>
      <c r="AM172" s="35" t="s">
        <v>63</v>
      </c>
      <c r="AN172" s="35"/>
      <c r="AO172" s="35"/>
      <c r="AP172" s="35" t="s">
        <v>63</v>
      </c>
      <c r="AQ172" s="25"/>
      <c r="AR172" s="1"/>
      <c r="AS172" t="str">
        <f t="shared" si="2"/>
        <v/>
      </c>
    </row>
    <row r="173" spans="1:45" ht="92" customHeight="1" x14ac:dyDescent="0.2">
      <c r="A173" s="112"/>
      <c r="B173" s="1">
        <v>91</v>
      </c>
      <c r="C173" s="1" t="s">
        <v>1537</v>
      </c>
      <c r="D173" s="1" t="s">
        <v>1538</v>
      </c>
      <c r="E173" s="1" t="s">
        <v>1539</v>
      </c>
      <c r="F173" s="1" t="s">
        <v>290</v>
      </c>
      <c r="G173" s="3">
        <v>2022</v>
      </c>
      <c r="H173" s="1" t="s">
        <v>54</v>
      </c>
      <c r="I173" s="35" t="s">
        <v>55</v>
      </c>
      <c r="J173" s="1"/>
      <c r="K173" s="35">
        <v>100</v>
      </c>
      <c r="L173" s="35" t="s">
        <v>55</v>
      </c>
      <c r="M173" s="1" t="s">
        <v>1540</v>
      </c>
      <c r="N173" s="35" t="s">
        <v>1541</v>
      </c>
      <c r="O173" s="1" t="s">
        <v>1542</v>
      </c>
      <c r="P173" s="1" t="s">
        <v>58</v>
      </c>
      <c r="Q173" s="35" t="s">
        <v>59</v>
      </c>
      <c r="R173" s="35">
        <v>4</v>
      </c>
      <c r="S173" s="1" t="s">
        <v>1543</v>
      </c>
      <c r="T173" s="1" t="s">
        <v>55</v>
      </c>
      <c r="U173" s="35" t="s">
        <v>147</v>
      </c>
      <c r="V173" s="4" t="s">
        <v>1544</v>
      </c>
      <c r="W173" s="35" t="s">
        <v>63</v>
      </c>
      <c r="X173" s="1" t="s">
        <v>55</v>
      </c>
      <c r="Y173" s="35" t="s">
        <v>63</v>
      </c>
      <c r="Z173" s="1" t="s">
        <v>105</v>
      </c>
      <c r="AA173" s="35">
        <v>3</v>
      </c>
      <c r="AB173" s="25">
        <v>50</v>
      </c>
      <c r="AC173" s="1" t="s">
        <v>120</v>
      </c>
      <c r="AD173" s="1" t="s">
        <v>1545</v>
      </c>
      <c r="AE173" s="1" t="s">
        <v>241</v>
      </c>
      <c r="AF173" s="35" t="s">
        <v>63</v>
      </c>
      <c r="AG173" s="35" t="s">
        <v>59</v>
      </c>
      <c r="AH173" s="35" t="s">
        <v>59</v>
      </c>
      <c r="AI173" s="25" t="s">
        <v>59</v>
      </c>
      <c r="AJ173" s="49" t="s">
        <v>59</v>
      </c>
      <c r="AK173" s="35"/>
      <c r="AL173" s="35" t="s">
        <v>59</v>
      </c>
      <c r="AM173" s="35" t="s">
        <v>59</v>
      </c>
      <c r="AN173" s="35" t="s">
        <v>68</v>
      </c>
      <c r="AO173" s="35"/>
      <c r="AP173" s="35" t="s">
        <v>59</v>
      </c>
      <c r="AQ173" s="25" t="s">
        <v>69</v>
      </c>
      <c r="AR173" s="1"/>
      <c r="AS173" t="str">
        <f t="shared" si="2"/>
        <v/>
      </c>
    </row>
    <row r="174" spans="1:45" ht="48" x14ac:dyDescent="0.2">
      <c r="A174" s="112"/>
      <c r="B174" s="1">
        <v>126</v>
      </c>
      <c r="C174" s="1" t="s">
        <v>1546</v>
      </c>
      <c r="D174" s="1" t="s">
        <v>858</v>
      </c>
      <c r="E174" s="1" t="s">
        <v>1547</v>
      </c>
      <c r="F174" s="62" t="s">
        <v>184</v>
      </c>
      <c r="G174" s="3">
        <v>2017</v>
      </c>
      <c r="H174" s="1" t="s">
        <v>373</v>
      </c>
      <c r="I174" s="35" t="s">
        <v>63</v>
      </c>
      <c r="J174" s="1"/>
      <c r="K174" s="35">
        <v>90</v>
      </c>
      <c r="L174" s="35">
        <v>4</v>
      </c>
      <c r="M174" s="1" t="s">
        <v>374</v>
      </c>
      <c r="N174" s="35">
        <v>20</v>
      </c>
      <c r="O174" s="1" t="s">
        <v>1548</v>
      </c>
      <c r="P174" s="1" t="s">
        <v>58</v>
      </c>
      <c r="Q174" s="35" t="s">
        <v>55</v>
      </c>
      <c r="R174" s="35" t="s">
        <v>1549</v>
      </c>
      <c r="S174" s="1" t="s">
        <v>1550</v>
      </c>
      <c r="T174" s="1" t="s">
        <v>105</v>
      </c>
      <c r="U174" s="35" t="s">
        <v>112</v>
      </c>
      <c r="V174" s="4" t="s">
        <v>706</v>
      </c>
      <c r="W174" s="35" t="s">
        <v>59</v>
      </c>
      <c r="X174" s="1" t="s">
        <v>172</v>
      </c>
      <c r="Y174" s="35" t="s">
        <v>63</v>
      </c>
      <c r="Z174" s="1" t="s">
        <v>607</v>
      </c>
      <c r="AA174" s="35">
        <v>12.8</v>
      </c>
      <c r="AB174" s="25">
        <v>0</v>
      </c>
      <c r="AC174" s="1" t="s">
        <v>566</v>
      </c>
      <c r="AD174" s="1" t="s">
        <v>66</v>
      </c>
      <c r="AE174" s="1" t="s">
        <v>1551</v>
      </c>
      <c r="AF174" s="35" t="s">
        <v>63</v>
      </c>
      <c r="AG174" s="35" t="s">
        <v>63</v>
      </c>
      <c r="AH174" s="35" t="s">
        <v>59</v>
      </c>
      <c r="AI174" s="25" t="s">
        <v>59</v>
      </c>
      <c r="AJ174" s="49" t="s">
        <v>63</v>
      </c>
      <c r="AK174" s="35" t="s">
        <v>1019</v>
      </c>
      <c r="AL174" s="35" t="s">
        <v>59</v>
      </c>
      <c r="AM174" s="35" t="s">
        <v>63</v>
      </c>
      <c r="AN174" s="35"/>
      <c r="AO174" s="35"/>
      <c r="AP174" s="35" t="s">
        <v>63</v>
      </c>
      <c r="AQ174" s="25"/>
      <c r="AR174" s="1"/>
      <c r="AS174" t="str">
        <f t="shared" si="2"/>
        <v/>
      </c>
    </row>
    <row r="175" spans="1:45" ht="74" customHeight="1" x14ac:dyDescent="0.2">
      <c r="A175" s="112"/>
      <c r="B175" s="1">
        <v>42</v>
      </c>
      <c r="C175" s="1" t="s">
        <v>1552</v>
      </c>
      <c r="D175" s="1" t="s">
        <v>1553</v>
      </c>
      <c r="E175" s="2" t="s">
        <v>1554</v>
      </c>
      <c r="F175" s="1" t="s">
        <v>208</v>
      </c>
      <c r="G175" s="3">
        <v>2021</v>
      </c>
      <c r="H175" s="1" t="s">
        <v>54</v>
      </c>
      <c r="I175" s="35" t="s">
        <v>55</v>
      </c>
      <c r="J175" s="1"/>
      <c r="K175" s="35" t="s">
        <v>55</v>
      </c>
      <c r="L175" s="35" t="s">
        <v>55</v>
      </c>
      <c r="M175" s="1" t="s">
        <v>55</v>
      </c>
      <c r="N175" s="35">
        <v>30</v>
      </c>
      <c r="O175" s="1" t="s">
        <v>1555</v>
      </c>
      <c r="P175" s="40" t="s">
        <v>58</v>
      </c>
      <c r="Q175" s="35" t="s">
        <v>59</v>
      </c>
      <c r="R175" s="35">
        <v>4</v>
      </c>
      <c r="S175" s="1" t="s">
        <v>1556</v>
      </c>
      <c r="T175" s="1" t="s">
        <v>55</v>
      </c>
      <c r="U175" s="35" t="s">
        <v>55</v>
      </c>
      <c r="V175" s="4" t="s">
        <v>1557</v>
      </c>
      <c r="W175" s="35" t="s">
        <v>63</v>
      </c>
      <c r="X175" s="1" t="s">
        <v>1558</v>
      </c>
      <c r="Y175" s="35" t="s">
        <v>59</v>
      </c>
      <c r="Z175" s="1"/>
      <c r="AA175" s="35">
        <v>2</v>
      </c>
      <c r="AB175" s="25">
        <v>80</v>
      </c>
      <c r="AC175" s="1" t="s">
        <v>273</v>
      </c>
      <c r="AD175" s="1" t="s">
        <v>66</v>
      </c>
      <c r="AE175" s="1" t="s">
        <v>67</v>
      </c>
      <c r="AF175" s="35" t="s">
        <v>59</v>
      </c>
      <c r="AG175" s="35" t="s">
        <v>63</v>
      </c>
      <c r="AH175" s="35" t="s">
        <v>59</v>
      </c>
      <c r="AI175" s="25" t="s">
        <v>59</v>
      </c>
      <c r="AJ175" s="49" t="s">
        <v>59</v>
      </c>
      <c r="AK175" s="35"/>
      <c r="AL175" s="35" t="s">
        <v>59</v>
      </c>
      <c r="AM175" s="35" t="s">
        <v>59</v>
      </c>
      <c r="AN175" s="35" t="s">
        <v>68</v>
      </c>
      <c r="AO175" s="35"/>
      <c r="AP175" s="35" t="s">
        <v>59</v>
      </c>
      <c r="AQ175" s="25" t="s">
        <v>69</v>
      </c>
      <c r="AR175" s="1"/>
      <c r="AS175" t="str">
        <f t="shared" si="2"/>
        <v/>
      </c>
    </row>
    <row r="176" spans="1:45" ht="128" x14ac:dyDescent="0.2">
      <c r="A176" s="112"/>
      <c r="B176" s="1">
        <v>125</v>
      </c>
      <c r="C176" s="1" t="s">
        <v>1559</v>
      </c>
      <c r="D176" s="1" t="s">
        <v>1560</v>
      </c>
      <c r="E176" s="1" t="s">
        <v>1561</v>
      </c>
      <c r="F176" s="62" t="s">
        <v>407</v>
      </c>
      <c r="G176" s="3">
        <v>2019</v>
      </c>
      <c r="H176" s="1" t="s">
        <v>54</v>
      </c>
      <c r="I176" s="35" t="s">
        <v>55</v>
      </c>
      <c r="J176" s="1"/>
      <c r="K176" s="35">
        <v>16</v>
      </c>
      <c r="L176" s="35">
        <v>2</v>
      </c>
      <c r="M176" s="1" t="s">
        <v>1562</v>
      </c>
      <c r="N176" s="35">
        <v>50</v>
      </c>
      <c r="O176" s="1" t="s">
        <v>489</v>
      </c>
      <c r="P176" s="1" t="s">
        <v>186</v>
      </c>
      <c r="Q176" s="35" t="s">
        <v>59</v>
      </c>
      <c r="R176" s="35" t="s">
        <v>1563</v>
      </c>
      <c r="S176" s="1" t="s">
        <v>1564</v>
      </c>
      <c r="T176" s="1" t="s">
        <v>55</v>
      </c>
      <c r="U176" s="35" t="s">
        <v>55</v>
      </c>
      <c r="V176" s="4" t="s">
        <v>1565</v>
      </c>
      <c r="W176" s="35" t="s">
        <v>59</v>
      </c>
      <c r="X176" s="56" t="s">
        <v>1566</v>
      </c>
      <c r="Y176" s="35" t="s">
        <v>63</v>
      </c>
      <c r="Z176" s="1" t="s">
        <v>1567</v>
      </c>
      <c r="AA176" s="35">
        <v>10</v>
      </c>
      <c r="AB176" s="25">
        <v>10</v>
      </c>
      <c r="AC176" s="1" t="s">
        <v>65</v>
      </c>
      <c r="AD176" s="1" t="s">
        <v>1568</v>
      </c>
      <c r="AE176" s="1" t="s">
        <v>1569</v>
      </c>
      <c r="AF176" s="35" t="s">
        <v>63</v>
      </c>
      <c r="AG176" s="35" t="s">
        <v>59</v>
      </c>
      <c r="AH176" s="35" t="s">
        <v>59</v>
      </c>
      <c r="AI176" s="25" t="s">
        <v>59</v>
      </c>
      <c r="AJ176" s="49" t="s">
        <v>59</v>
      </c>
      <c r="AK176" s="35"/>
      <c r="AL176" s="35" t="s">
        <v>59</v>
      </c>
      <c r="AM176" s="35" t="s">
        <v>63</v>
      </c>
      <c r="AN176" s="35"/>
      <c r="AO176" s="35"/>
      <c r="AP176" s="35" t="s">
        <v>59</v>
      </c>
      <c r="AQ176" s="25" t="s">
        <v>69</v>
      </c>
      <c r="AR176" s="1"/>
      <c r="AS176" t="str">
        <f t="shared" si="2"/>
        <v/>
      </c>
    </row>
    <row r="177" spans="1:45" s="19" customFormat="1" ht="192" x14ac:dyDescent="0.2">
      <c r="A177" s="112"/>
      <c r="B177" s="114">
        <v>135</v>
      </c>
      <c r="C177" s="114" t="s">
        <v>1570</v>
      </c>
      <c r="D177" s="114" t="s">
        <v>1571</v>
      </c>
      <c r="E177" s="114" t="s">
        <v>1572</v>
      </c>
      <c r="F177" s="114" t="s">
        <v>290</v>
      </c>
      <c r="G177" s="122">
        <v>2016</v>
      </c>
      <c r="H177" s="1" t="s">
        <v>54</v>
      </c>
      <c r="I177" s="35" t="s">
        <v>55</v>
      </c>
      <c r="J177" s="1"/>
      <c r="K177" s="35">
        <v>80</v>
      </c>
      <c r="L177" s="35">
        <v>6</v>
      </c>
      <c r="M177" s="1" t="s">
        <v>179</v>
      </c>
      <c r="N177" s="35">
        <v>35</v>
      </c>
      <c r="O177" s="1" t="s">
        <v>1573</v>
      </c>
      <c r="P177" s="40" t="s">
        <v>58</v>
      </c>
      <c r="Q177" s="35" t="s">
        <v>59</v>
      </c>
      <c r="R177" s="35" t="s">
        <v>1574</v>
      </c>
      <c r="S177" s="92" t="s">
        <v>1575</v>
      </c>
      <c r="T177" s="92" t="s">
        <v>1576</v>
      </c>
      <c r="U177" s="92" t="s">
        <v>112</v>
      </c>
      <c r="V177" s="115" t="s">
        <v>1577</v>
      </c>
      <c r="W177" s="92" t="s">
        <v>63</v>
      </c>
      <c r="X177" s="114" t="s">
        <v>1578</v>
      </c>
      <c r="Y177" s="92" t="s">
        <v>63</v>
      </c>
      <c r="Z177" s="114" t="s">
        <v>1579</v>
      </c>
      <c r="AA177" s="92" t="s">
        <v>1580</v>
      </c>
      <c r="AB177" s="119" t="s">
        <v>55</v>
      </c>
      <c r="AC177" s="120" t="s">
        <v>120</v>
      </c>
      <c r="AD177" s="114" t="s">
        <v>1581</v>
      </c>
      <c r="AE177" s="114" t="s">
        <v>1582</v>
      </c>
      <c r="AF177" s="92" t="s">
        <v>63</v>
      </c>
      <c r="AG177" s="92" t="s">
        <v>63</v>
      </c>
      <c r="AH177" s="92" t="s">
        <v>59</v>
      </c>
      <c r="AI177" s="91" t="s">
        <v>59</v>
      </c>
      <c r="AJ177" s="95" t="s">
        <v>59</v>
      </c>
      <c r="AK177" s="92"/>
      <c r="AL177" s="92" t="s">
        <v>59</v>
      </c>
      <c r="AM177" s="92" t="s">
        <v>63</v>
      </c>
      <c r="AN177" s="92"/>
      <c r="AO177" s="35"/>
      <c r="AP177" s="92" t="s">
        <v>59</v>
      </c>
      <c r="AQ177" s="91" t="s">
        <v>69</v>
      </c>
      <c r="AR177" s="1"/>
      <c r="AS177" t="str">
        <f t="shared" si="2"/>
        <v/>
      </c>
    </row>
    <row r="178" spans="1:45" x14ac:dyDescent="0.2">
      <c r="A178" s="112"/>
      <c r="B178" s="114"/>
      <c r="C178" s="114"/>
      <c r="D178" s="114"/>
      <c r="E178" s="114"/>
      <c r="F178" s="114"/>
      <c r="G178" s="122"/>
      <c r="H178" s="1" t="s">
        <v>54</v>
      </c>
      <c r="I178" s="35" t="s">
        <v>55</v>
      </c>
      <c r="J178" s="1"/>
      <c r="K178" s="35">
        <v>80</v>
      </c>
      <c r="L178" s="35">
        <v>6</v>
      </c>
      <c r="M178" s="1" t="s">
        <v>179</v>
      </c>
      <c r="N178" s="35" t="s">
        <v>1583</v>
      </c>
      <c r="O178" s="1" t="s">
        <v>55</v>
      </c>
      <c r="P178" s="1" t="s">
        <v>186</v>
      </c>
      <c r="Q178" s="35" t="s">
        <v>59</v>
      </c>
      <c r="R178" s="35">
        <v>5</v>
      </c>
      <c r="S178" s="92"/>
      <c r="T178" s="92"/>
      <c r="U178" s="92"/>
      <c r="V178" s="115"/>
      <c r="W178" s="92"/>
      <c r="X178" s="114"/>
      <c r="Y178" s="92"/>
      <c r="Z178" s="114"/>
      <c r="AA178" s="92"/>
      <c r="AB178" s="119"/>
      <c r="AC178" s="120"/>
      <c r="AD178" s="114"/>
      <c r="AE178" s="114"/>
      <c r="AF178" s="92"/>
      <c r="AG178" s="92"/>
      <c r="AH178" s="92"/>
      <c r="AI178" s="91"/>
      <c r="AJ178" s="95"/>
      <c r="AK178" s="92"/>
      <c r="AL178" s="92"/>
      <c r="AM178" s="92"/>
      <c r="AN178" s="92"/>
      <c r="AO178" s="35"/>
      <c r="AP178" s="92"/>
      <c r="AQ178" s="91"/>
      <c r="AR178" s="1"/>
      <c r="AS178" t="str">
        <f t="shared" si="2"/>
        <v/>
      </c>
    </row>
    <row r="179" spans="1:45" ht="80" x14ac:dyDescent="0.2">
      <c r="A179" s="113"/>
      <c r="B179" s="16">
        <v>81</v>
      </c>
      <c r="C179" s="16" t="s">
        <v>1584</v>
      </c>
      <c r="D179" s="16" t="s">
        <v>1585</v>
      </c>
      <c r="E179" s="16" t="s">
        <v>1586</v>
      </c>
      <c r="F179" s="16" t="s">
        <v>199</v>
      </c>
      <c r="G179" s="17">
        <v>2023</v>
      </c>
      <c r="H179" s="16" t="s">
        <v>54</v>
      </c>
      <c r="I179" s="15" t="s">
        <v>63</v>
      </c>
      <c r="J179" s="16" t="s">
        <v>1587</v>
      </c>
      <c r="K179" s="15">
        <v>120</v>
      </c>
      <c r="L179" s="15">
        <v>16</v>
      </c>
      <c r="M179" s="16" t="s">
        <v>1588</v>
      </c>
      <c r="N179" s="15">
        <v>8</v>
      </c>
      <c r="O179" s="16" t="s">
        <v>1589</v>
      </c>
      <c r="P179" s="67" t="s">
        <v>58</v>
      </c>
      <c r="Q179" s="15" t="s">
        <v>59</v>
      </c>
      <c r="R179" s="15">
        <v>7</v>
      </c>
      <c r="S179" s="16" t="s">
        <v>1590</v>
      </c>
      <c r="T179" s="16" t="s">
        <v>55</v>
      </c>
      <c r="U179" s="15" t="s">
        <v>134</v>
      </c>
      <c r="V179" s="18" t="s">
        <v>1591</v>
      </c>
      <c r="W179" s="15" t="s">
        <v>63</v>
      </c>
      <c r="X179" s="16" t="s">
        <v>104</v>
      </c>
      <c r="Y179" s="15" t="s">
        <v>63</v>
      </c>
      <c r="Z179" s="16" t="s">
        <v>489</v>
      </c>
      <c r="AA179" s="15">
        <v>1</v>
      </c>
      <c r="AB179" s="27">
        <v>50</v>
      </c>
      <c r="AC179" s="16" t="s">
        <v>65</v>
      </c>
      <c r="AD179" s="16" t="s">
        <v>66</v>
      </c>
      <c r="AE179" s="16" t="s">
        <v>1592</v>
      </c>
      <c r="AF179" s="15" t="s">
        <v>59</v>
      </c>
      <c r="AG179" s="15" t="s">
        <v>63</v>
      </c>
      <c r="AH179" s="15" t="s">
        <v>59</v>
      </c>
      <c r="AI179" s="27" t="s">
        <v>59</v>
      </c>
      <c r="AJ179" s="52" t="s">
        <v>59</v>
      </c>
      <c r="AK179" s="15"/>
      <c r="AL179" s="15" t="s">
        <v>59</v>
      </c>
      <c r="AM179" s="15" t="s">
        <v>63</v>
      </c>
      <c r="AN179" s="15"/>
      <c r="AO179" s="15"/>
      <c r="AP179" s="15" t="s">
        <v>63</v>
      </c>
      <c r="AQ179" s="27"/>
      <c r="AR179" s="1"/>
      <c r="AS179" t="str">
        <f t="shared" si="2"/>
        <v/>
      </c>
    </row>
    <row r="180" spans="1:45" s="19" customFormat="1" ht="395" x14ac:dyDescent="0.2">
      <c r="A180" s="79" t="s">
        <v>1593</v>
      </c>
      <c r="B180" s="16">
        <v>16</v>
      </c>
      <c r="C180" s="16" t="s">
        <v>1594</v>
      </c>
      <c r="D180" s="16" t="s">
        <v>1595</v>
      </c>
      <c r="E180" s="41" t="s">
        <v>1596</v>
      </c>
      <c r="F180" s="16" t="s">
        <v>208</v>
      </c>
      <c r="G180" s="17">
        <v>2015</v>
      </c>
      <c r="H180" s="16" t="s">
        <v>1597</v>
      </c>
      <c r="I180" s="15" t="s">
        <v>63</v>
      </c>
      <c r="J180" s="16" t="s">
        <v>1598</v>
      </c>
      <c r="K180" s="15" t="s">
        <v>55</v>
      </c>
      <c r="L180" s="15" t="s">
        <v>55</v>
      </c>
      <c r="M180" s="16" t="s">
        <v>55</v>
      </c>
      <c r="N180" s="15">
        <v>21</v>
      </c>
      <c r="O180" s="16" t="s">
        <v>55</v>
      </c>
      <c r="P180" s="16" t="s">
        <v>55</v>
      </c>
      <c r="Q180" s="15" t="s">
        <v>63</v>
      </c>
      <c r="R180" s="15">
        <v>18</v>
      </c>
      <c r="S180" s="16" t="s">
        <v>1599</v>
      </c>
      <c r="T180" s="16" t="s">
        <v>55</v>
      </c>
      <c r="U180" s="15" t="s">
        <v>222</v>
      </c>
      <c r="V180" s="18" t="s">
        <v>1600</v>
      </c>
      <c r="W180" s="15" t="s">
        <v>63</v>
      </c>
      <c r="X180" s="16" t="s">
        <v>55</v>
      </c>
      <c r="Y180" s="15" t="s">
        <v>63</v>
      </c>
      <c r="Z180" s="16" t="s">
        <v>1601</v>
      </c>
      <c r="AA180" s="15">
        <v>4</v>
      </c>
      <c r="AB180" s="27">
        <v>25</v>
      </c>
      <c r="AC180" s="16" t="s">
        <v>1602</v>
      </c>
      <c r="AD180" s="16" t="s">
        <v>66</v>
      </c>
      <c r="AE180" s="16" t="s">
        <v>1603</v>
      </c>
      <c r="AF180" s="15" t="s">
        <v>59</v>
      </c>
      <c r="AG180" s="15" t="s">
        <v>59</v>
      </c>
      <c r="AH180" s="15" t="s">
        <v>63</v>
      </c>
      <c r="AI180" s="27" t="s">
        <v>59</v>
      </c>
      <c r="AJ180" s="52" t="s">
        <v>59</v>
      </c>
      <c r="AK180" s="15"/>
      <c r="AL180" s="15" t="s">
        <v>59</v>
      </c>
      <c r="AM180" s="15" t="s">
        <v>59</v>
      </c>
      <c r="AN180" s="15" t="s">
        <v>82</v>
      </c>
      <c r="AO180" s="15"/>
      <c r="AP180" s="15" t="s">
        <v>59</v>
      </c>
      <c r="AQ180" s="27" t="s">
        <v>81</v>
      </c>
      <c r="AR180" s="1" t="s">
        <v>314</v>
      </c>
      <c r="AS180" t="str">
        <f t="shared" si="2"/>
        <v/>
      </c>
    </row>
    <row r="181" spans="1:45" x14ac:dyDescent="0.2">
      <c r="AM181" s="94" t="s">
        <v>1604</v>
      </c>
      <c r="AN181" s="94"/>
      <c r="AO181" s="89"/>
      <c r="AP181" s="94" t="s">
        <v>1605</v>
      </c>
      <c r="AQ181" s="94"/>
    </row>
    <row r="182" spans="1:45" x14ac:dyDescent="0.2">
      <c r="AM182" s="88" t="s">
        <v>68</v>
      </c>
      <c r="AN182" s="5">
        <f>COUNTIF(AN3:AN180,AM182)</f>
        <v>54</v>
      </c>
      <c r="AP182" s="88" t="s">
        <v>69</v>
      </c>
      <c r="AQ182" s="5">
        <f>COUNTIF(AQ3:AQ180,AP182)</f>
        <v>60</v>
      </c>
    </row>
    <row r="183" spans="1:45" x14ac:dyDescent="0.2">
      <c r="AM183" s="88" t="s">
        <v>82</v>
      </c>
      <c r="AN183" s="5">
        <f>COUNTIF(AN3:AN180,AM183)</f>
        <v>13</v>
      </c>
      <c r="AP183" s="88" t="s">
        <v>81</v>
      </c>
      <c r="AQ183" s="5">
        <f>COUNTIF(AQ3:AQ180,AP183)</f>
        <v>56</v>
      </c>
    </row>
    <row r="184" spans="1:45" x14ac:dyDescent="0.2">
      <c r="AM184" s="88" t="s">
        <v>93</v>
      </c>
      <c r="AN184" s="5">
        <f>COUNTIF(AN3:AN180,AM184)</f>
        <v>22</v>
      </c>
      <c r="AP184" s="88" t="s">
        <v>94</v>
      </c>
      <c r="AQ184" s="5">
        <f>COUNTIF(AQ3:AQ180,AP184)</f>
        <v>13</v>
      </c>
    </row>
    <row r="185" spans="1:45" x14ac:dyDescent="0.2">
      <c r="AN185" s="5">
        <f>SUM(AN182:AN184)</f>
        <v>89</v>
      </c>
      <c r="AQ185" s="5">
        <f>SUM(AQ182:AQ184)</f>
        <v>129</v>
      </c>
    </row>
    <row r="186" spans="1:45" x14ac:dyDescent="0.2">
      <c r="AL186" s="5">
        <f>COUNTIF(AM3:AM180, "N")</f>
        <v>89</v>
      </c>
      <c r="AM186" s="88" t="s">
        <v>43</v>
      </c>
      <c r="AN186" s="5">
        <f>COUNTIF(AM3:AM180, "Y")</f>
        <v>65</v>
      </c>
      <c r="AP186" s="88" t="s">
        <v>46</v>
      </c>
      <c r="AQ186" s="5">
        <f>COUNTIF(AP3:AP180, "Y")</f>
        <v>25</v>
      </c>
    </row>
    <row r="187" spans="1:45" x14ac:dyDescent="0.2">
      <c r="AN187" s="5">
        <f>SUM(AN185:AN186)</f>
        <v>154</v>
      </c>
      <c r="AQ187" s="5">
        <f>SUM(AQ185:AQ186)</f>
        <v>154</v>
      </c>
    </row>
  </sheetData>
  <mergeCells count="476">
    <mergeCell ref="J14:J15"/>
    <mergeCell ref="B143:B144"/>
    <mergeCell ref="C143:C144"/>
    <mergeCell ref="E143:E144"/>
    <mergeCell ref="F143:F144"/>
    <mergeCell ref="G143:G144"/>
    <mergeCell ref="D143:D144"/>
    <mergeCell ref="B46:B47"/>
    <mergeCell ref="H1:U1"/>
    <mergeCell ref="V1:AB1"/>
    <mergeCell ref="C46:C47"/>
    <mergeCell ref="D46:D47"/>
    <mergeCell ref="E46:E47"/>
    <mergeCell ref="E120:E122"/>
    <mergeCell ref="F120:F122"/>
    <mergeCell ref="G120:G122"/>
    <mergeCell ref="F46:F47"/>
    <mergeCell ref="G46:G47"/>
    <mergeCell ref="J46:J47"/>
    <mergeCell ref="X46:X47"/>
    <mergeCell ref="Y46:Y47"/>
    <mergeCell ref="Z46:Z47"/>
    <mergeCell ref="W46:W47"/>
    <mergeCell ref="AB46:AB47"/>
    <mergeCell ref="F26:F28"/>
    <mergeCell ref="AC1:AI1"/>
    <mergeCell ref="AJ1:AQ1"/>
    <mergeCell ref="A1:G1"/>
    <mergeCell ref="B44:B45"/>
    <mergeCell ref="C44:C45"/>
    <mergeCell ref="D44:D45"/>
    <mergeCell ref="E44:E45"/>
    <mergeCell ref="F44:F45"/>
    <mergeCell ref="AC44:AC45"/>
    <mergeCell ref="AD44:AD45"/>
    <mergeCell ref="AL44:AL45"/>
    <mergeCell ref="AM44:AM45"/>
    <mergeCell ref="AE44:AE45"/>
    <mergeCell ref="AF44:AF45"/>
    <mergeCell ref="AI44:AI45"/>
    <mergeCell ref="V44:V45"/>
    <mergeCell ref="W44:W45"/>
    <mergeCell ref="X44:X45"/>
    <mergeCell ref="G13:G15"/>
    <mergeCell ref="V13:V15"/>
    <mergeCell ref="B26:B28"/>
    <mergeCell ref="C26:C28"/>
    <mergeCell ref="D26:D28"/>
    <mergeCell ref="E26:E28"/>
    <mergeCell ref="AQ120:AQ122"/>
    <mergeCell ref="AJ120:AJ122"/>
    <mergeCell ref="AK120:AK122"/>
    <mergeCell ref="AH120:AH122"/>
    <mergeCell ref="AI120:AI122"/>
    <mergeCell ref="V120:V122"/>
    <mergeCell ref="W120:W122"/>
    <mergeCell ref="X120:X122"/>
    <mergeCell ref="AM120:AM122"/>
    <mergeCell ref="AN120:AN122"/>
    <mergeCell ref="AP120:AP122"/>
    <mergeCell ref="AF120:AF122"/>
    <mergeCell ref="AG120:AG122"/>
    <mergeCell ref="AL120:AL122"/>
    <mergeCell ref="AC120:AC122"/>
    <mergeCell ref="AC46:AC47"/>
    <mergeCell ref="AD46:AD47"/>
    <mergeCell ref="AE46:AE47"/>
    <mergeCell ref="AF46:AF47"/>
    <mergeCell ref="AG46:AG47"/>
    <mergeCell ref="AQ46:AQ47"/>
    <mergeCell ref="AK46:AK47"/>
    <mergeCell ref="AL46:AL47"/>
    <mergeCell ref="G26:G28"/>
    <mergeCell ref="G44:G45"/>
    <mergeCell ref="J44:J45"/>
    <mergeCell ref="AJ44:AJ45"/>
    <mergeCell ref="AK44:AK45"/>
    <mergeCell ref="Z44:Z45"/>
    <mergeCell ref="AN44:AN45"/>
    <mergeCell ref="AP44:AP45"/>
    <mergeCell ref="AA46:AA47"/>
    <mergeCell ref="V46:V47"/>
    <mergeCell ref="Y44:Y45"/>
    <mergeCell ref="AQ44:AQ45"/>
    <mergeCell ref="AQ26:AQ28"/>
    <mergeCell ref="AJ26:AJ28"/>
    <mergeCell ref="Y26:Y28"/>
    <mergeCell ref="Z26:Z28"/>
    <mergeCell ref="AM123:AM125"/>
    <mergeCell ref="AN123:AN125"/>
    <mergeCell ref="AP123:AP125"/>
    <mergeCell ref="AC123:AC125"/>
    <mergeCell ref="AD123:AD125"/>
    <mergeCell ref="G123:G125"/>
    <mergeCell ref="V123:V125"/>
    <mergeCell ref="W123:W125"/>
    <mergeCell ref="X123:X125"/>
    <mergeCell ref="AQ123:AQ125"/>
    <mergeCell ref="Y123:Y125"/>
    <mergeCell ref="Z123:Z125"/>
    <mergeCell ref="AA123:AA125"/>
    <mergeCell ref="AB123:AB125"/>
    <mergeCell ref="AK123:AK125"/>
    <mergeCell ref="AD120:AD122"/>
    <mergeCell ref="AE120:AE122"/>
    <mergeCell ref="AN46:AN47"/>
    <mergeCell ref="AH46:AH47"/>
    <mergeCell ref="AI46:AI47"/>
    <mergeCell ref="AM46:AM47"/>
    <mergeCell ref="AP46:AP47"/>
    <mergeCell ref="Y89:Y90"/>
    <mergeCell ref="Z89:Z90"/>
    <mergeCell ref="AA89:AA90"/>
    <mergeCell ref="AB89:AB90"/>
    <mergeCell ref="AC89:AC90"/>
    <mergeCell ref="AI89:AI90"/>
    <mergeCell ref="AN92:AN93"/>
    <mergeCell ref="AP92:AP93"/>
    <mergeCell ref="AQ92:AQ93"/>
    <mergeCell ref="AH92:AH93"/>
    <mergeCell ref="AI92:AI93"/>
    <mergeCell ref="AQ6:AQ7"/>
    <mergeCell ref="AG6:AG7"/>
    <mergeCell ref="AH6:AH7"/>
    <mergeCell ref="AI6:AI7"/>
    <mergeCell ref="AF6:AF7"/>
    <mergeCell ref="AM6:AM7"/>
    <mergeCell ref="AN6:AN7"/>
    <mergeCell ref="AP6:AP7"/>
    <mergeCell ref="AJ6:AJ7"/>
    <mergeCell ref="AK6:AK7"/>
    <mergeCell ref="AL6:AL7"/>
    <mergeCell ref="Z6:Z7"/>
    <mergeCell ref="AE6:AE7"/>
    <mergeCell ref="B8:B9"/>
    <mergeCell ref="C8:C9"/>
    <mergeCell ref="D8:D9"/>
    <mergeCell ref="E8:E9"/>
    <mergeCell ref="F8:F9"/>
    <mergeCell ref="AA6:AA7"/>
    <mergeCell ref="AB6:AB7"/>
    <mergeCell ref="AC6:AC7"/>
    <mergeCell ref="AD6:AD7"/>
    <mergeCell ref="X6:X7"/>
    <mergeCell ref="Y6:Y7"/>
    <mergeCell ref="B6:B7"/>
    <mergeCell ref="C6:C7"/>
    <mergeCell ref="D6:D7"/>
    <mergeCell ref="E6:E7"/>
    <mergeCell ref="F6:F7"/>
    <mergeCell ref="G6:G7"/>
    <mergeCell ref="V6:V7"/>
    <mergeCell ref="W6:W7"/>
    <mergeCell ref="G8:G9"/>
    <mergeCell ref="AP8:AP9"/>
    <mergeCell ref="V8:V9"/>
    <mergeCell ref="W8:W9"/>
    <mergeCell ref="X8:X9"/>
    <mergeCell ref="Y8:Y9"/>
    <mergeCell ref="AC26:AC28"/>
    <mergeCell ref="AD26:AD28"/>
    <mergeCell ref="AA26:AA28"/>
    <mergeCell ref="AK26:AK28"/>
    <mergeCell ref="AB26:AB28"/>
    <mergeCell ref="AL26:AL28"/>
    <mergeCell ref="AM26:AM28"/>
    <mergeCell ref="AN26:AN28"/>
    <mergeCell ref="AP26:AP28"/>
    <mergeCell ref="AC13:AC15"/>
    <mergeCell ref="AI8:AI9"/>
    <mergeCell ref="AL8:AL9"/>
    <mergeCell ref="AM8:AM9"/>
    <mergeCell ref="AN8:AN9"/>
    <mergeCell ref="AG8:AG9"/>
    <mergeCell ref="AH8:AH9"/>
    <mergeCell ref="V26:V28"/>
    <mergeCell ref="W26:W28"/>
    <mergeCell ref="X26:X28"/>
    <mergeCell ref="AQ8:AQ9"/>
    <mergeCell ref="AC8:AC9"/>
    <mergeCell ref="AD8:AD9"/>
    <mergeCell ref="AE8:AE9"/>
    <mergeCell ref="AF8:AF9"/>
    <mergeCell ref="AA8:AA9"/>
    <mergeCell ref="AB8:AB9"/>
    <mergeCell ref="AQ126:AQ128"/>
    <mergeCell ref="AJ126:AJ128"/>
    <mergeCell ref="AK126:AK128"/>
    <mergeCell ref="AL126:AL128"/>
    <mergeCell ref="AM126:AM128"/>
    <mergeCell ref="AQ89:AQ90"/>
    <mergeCell ref="AJ89:AJ90"/>
    <mergeCell ref="AK89:AK90"/>
    <mergeCell ref="AL89:AL90"/>
    <mergeCell ref="AM89:AM90"/>
    <mergeCell ref="AN89:AN90"/>
    <mergeCell ref="AP89:AP90"/>
    <mergeCell ref="AD89:AD90"/>
    <mergeCell ref="AE89:AE90"/>
    <mergeCell ref="AF89:AF90"/>
    <mergeCell ref="AG89:AG90"/>
    <mergeCell ref="AH89:AH90"/>
    <mergeCell ref="Y126:Y128"/>
    <mergeCell ref="Z126:Z128"/>
    <mergeCell ref="AA126:AA128"/>
    <mergeCell ref="AN126:AN128"/>
    <mergeCell ref="AP126:AP128"/>
    <mergeCell ref="AH126:AH128"/>
    <mergeCell ref="AI126:AI128"/>
    <mergeCell ref="AB126:AB128"/>
    <mergeCell ref="AC126:AC128"/>
    <mergeCell ref="AD126:AD128"/>
    <mergeCell ref="AE126:AE128"/>
    <mergeCell ref="AF126:AF128"/>
    <mergeCell ref="AG126:AG128"/>
    <mergeCell ref="D123:D125"/>
    <mergeCell ref="E123:E125"/>
    <mergeCell ref="F123:F125"/>
    <mergeCell ref="V126:V128"/>
    <mergeCell ref="G126:G128"/>
    <mergeCell ref="W126:W128"/>
    <mergeCell ref="X89:X90"/>
    <mergeCell ref="B126:B128"/>
    <mergeCell ref="C126:C128"/>
    <mergeCell ref="D126:D128"/>
    <mergeCell ref="E126:E128"/>
    <mergeCell ref="F126:F128"/>
    <mergeCell ref="B123:B125"/>
    <mergeCell ref="C123:C125"/>
    <mergeCell ref="B92:B93"/>
    <mergeCell ref="C92:C93"/>
    <mergeCell ref="D92:D93"/>
    <mergeCell ref="E92:E93"/>
    <mergeCell ref="F92:F93"/>
    <mergeCell ref="G92:G93"/>
    <mergeCell ref="X126:X128"/>
    <mergeCell ref="B120:B122"/>
    <mergeCell ref="C120:C122"/>
    <mergeCell ref="D120:D122"/>
    <mergeCell ref="I89:I90"/>
    <mergeCell ref="R89:R90"/>
    <mergeCell ref="S89:S90"/>
    <mergeCell ref="T89:T90"/>
    <mergeCell ref="U89:U90"/>
    <mergeCell ref="V89:V90"/>
    <mergeCell ref="J89:J90"/>
    <mergeCell ref="K89:K90"/>
    <mergeCell ref="L89:L90"/>
    <mergeCell ref="M89:M90"/>
    <mergeCell ref="Q89:Q90"/>
    <mergeCell ref="AJ92:AJ93"/>
    <mergeCell ref="AK92:AK93"/>
    <mergeCell ref="AL92:AL93"/>
    <mergeCell ref="AM92:AM93"/>
    <mergeCell ref="AB92:AB93"/>
    <mergeCell ref="AC92:AC93"/>
    <mergeCell ref="AD92:AD93"/>
    <mergeCell ref="AE92:AE93"/>
    <mergeCell ref="AF92:AF93"/>
    <mergeCell ref="AG92:AG93"/>
    <mergeCell ref="V92:V93"/>
    <mergeCell ref="W92:W93"/>
    <mergeCell ref="X92:X93"/>
    <mergeCell ref="Y92:Y93"/>
    <mergeCell ref="Z92:Z93"/>
    <mergeCell ref="AA92:AA93"/>
    <mergeCell ref="B13:B15"/>
    <mergeCell ref="C13:C15"/>
    <mergeCell ref="D13:D15"/>
    <mergeCell ref="E13:E15"/>
    <mergeCell ref="F13:F15"/>
    <mergeCell ref="W13:W15"/>
    <mergeCell ref="X13:X15"/>
    <mergeCell ref="Y13:Y15"/>
    <mergeCell ref="Z13:Z15"/>
    <mergeCell ref="AA13:AA15"/>
    <mergeCell ref="W89:W90"/>
    <mergeCell ref="H89:H90"/>
    <mergeCell ref="B89:B90"/>
    <mergeCell ref="C89:C90"/>
    <mergeCell ref="D89:D90"/>
    <mergeCell ref="E89:E90"/>
    <mergeCell ref="F89:F90"/>
    <mergeCell ref="G89:G90"/>
    <mergeCell ref="AQ13:AQ15"/>
    <mergeCell ref="AJ13:AJ15"/>
    <mergeCell ref="AK13:AK15"/>
    <mergeCell ref="AL13:AL15"/>
    <mergeCell ref="AM13:AM15"/>
    <mergeCell ref="AN13:AN15"/>
    <mergeCell ref="AP13:AP15"/>
    <mergeCell ref="AD13:AD15"/>
    <mergeCell ref="AE13:AE15"/>
    <mergeCell ref="AF13:AF15"/>
    <mergeCell ref="AG13:AG15"/>
    <mergeCell ref="AH13:AH15"/>
    <mergeCell ref="AI13:AI15"/>
    <mergeCell ref="AB13:AB15"/>
    <mergeCell ref="J167:J168"/>
    <mergeCell ref="K167:K168"/>
    <mergeCell ref="B167:B168"/>
    <mergeCell ref="C167:C168"/>
    <mergeCell ref="D167:D168"/>
    <mergeCell ref="E167:E168"/>
    <mergeCell ref="F167:F168"/>
    <mergeCell ref="G167:G168"/>
    <mergeCell ref="H167:H168"/>
    <mergeCell ref="I167:I168"/>
    <mergeCell ref="L167:L168"/>
    <mergeCell ref="M167:M168"/>
    <mergeCell ref="N167:N168"/>
    <mergeCell ref="O167:O168"/>
    <mergeCell ref="P167:P168"/>
    <mergeCell ref="Q167:Q168"/>
    <mergeCell ref="Z167:Z168"/>
    <mergeCell ref="X147:X148"/>
    <mergeCell ref="W147:W148"/>
    <mergeCell ref="V147:V148"/>
    <mergeCell ref="T147:T148"/>
    <mergeCell ref="U147:U148"/>
    <mergeCell ref="Q147:Q148"/>
    <mergeCell ref="AQ167:AQ168"/>
    <mergeCell ref="AD167:AD168"/>
    <mergeCell ref="AF167:AF168"/>
    <mergeCell ref="AG167:AG168"/>
    <mergeCell ref="AH167:AH168"/>
    <mergeCell ref="AI167:AI168"/>
    <mergeCell ref="AJ167:AJ168"/>
    <mergeCell ref="T167:T168"/>
    <mergeCell ref="U167:U168"/>
    <mergeCell ref="W167:W168"/>
    <mergeCell ref="X167:X168"/>
    <mergeCell ref="AL167:AL168"/>
    <mergeCell ref="AM167:AM168"/>
    <mergeCell ref="AN167:AN168"/>
    <mergeCell ref="AC167:AC168"/>
    <mergeCell ref="AK167:AK168"/>
    <mergeCell ref="Y167:Y168"/>
    <mergeCell ref="AP167:AP168"/>
    <mergeCell ref="AQ169:AQ170"/>
    <mergeCell ref="H169:H170"/>
    <mergeCell ref="I169:I170"/>
    <mergeCell ref="J169:J170"/>
    <mergeCell ref="K169:K170"/>
    <mergeCell ref="L169:L170"/>
    <mergeCell ref="M169:M170"/>
    <mergeCell ref="U169:U170"/>
    <mergeCell ref="W169:W170"/>
    <mergeCell ref="X169:X170"/>
    <mergeCell ref="AJ169:AJ170"/>
    <mergeCell ref="AK169:AK170"/>
    <mergeCell ref="AL169:AL170"/>
    <mergeCell ref="AM169:AM170"/>
    <mergeCell ref="AI169:AI170"/>
    <mergeCell ref="AN169:AN170"/>
    <mergeCell ref="AP169:AP170"/>
    <mergeCell ref="Y169:Y170"/>
    <mergeCell ref="Z169:Z170"/>
    <mergeCell ref="AA169:AA170"/>
    <mergeCell ref="N169:N170"/>
    <mergeCell ref="B169:B170"/>
    <mergeCell ref="C169:C170"/>
    <mergeCell ref="D169:D170"/>
    <mergeCell ref="E169:E170"/>
    <mergeCell ref="O169:O170"/>
    <mergeCell ref="P169:P170"/>
    <mergeCell ref="Q169:Q170"/>
    <mergeCell ref="T169:T170"/>
    <mergeCell ref="AH169:AH170"/>
    <mergeCell ref="AB169:AB170"/>
    <mergeCell ref="AC169:AC170"/>
    <mergeCell ref="AD169:AD170"/>
    <mergeCell ref="AE169:AE170"/>
    <mergeCell ref="F169:F170"/>
    <mergeCell ref="G169:G170"/>
    <mergeCell ref="AF169:AF170"/>
    <mergeCell ref="AG169:AG170"/>
    <mergeCell ref="V169:V170"/>
    <mergeCell ref="AQ134:AQ137"/>
    <mergeCell ref="F177:F178"/>
    <mergeCell ref="G177:G178"/>
    <mergeCell ref="U177:U178"/>
    <mergeCell ref="B177:B178"/>
    <mergeCell ref="C177:C178"/>
    <mergeCell ref="AI134:AI137"/>
    <mergeCell ref="AJ134:AJ137"/>
    <mergeCell ref="AK134:AK137"/>
    <mergeCell ref="AL134:AL137"/>
    <mergeCell ref="AM134:AM137"/>
    <mergeCell ref="AN134:AN137"/>
    <mergeCell ref="AB134:AB137"/>
    <mergeCell ref="AD134:AD137"/>
    <mergeCell ref="AE134:AE137"/>
    <mergeCell ref="AF134:AF137"/>
    <mergeCell ref="AG134:AG137"/>
    <mergeCell ref="AH134:AH137"/>
    <mergeCell ref="E134:E137"/>
    <mergeCell ref="F134:F137"/>
    <mergeCell ref="G134:G137"/>
    <mergeCell ref="Y134:Y137"/>
    <mergeCell ref="Z134:Z137"/>
    <mergeCell ref="AA134:AA137"/>
    <mergeCell ref="AQ177:AQ178"/>
    <mergeCell ref="AJ177:AJ178"/>
    <mergeCell ref="AK177:AK178"/>
    <mergeCell ref="AL177:AL178"/>
    <mergeCell ref="AM177:AM178"/>
    <mergeCell ref="AA177:AA178"/>
    <mergeCell ref="AH177:AH178"/>
    <mergeCell ref="AI177:AI178"/>
    <mergeCell ref="AB177:AB178"/>
    <mergeCell ref="AC177:AC178"/>
    <mergeCell ref="AD177:AD178"/>
    <mergeCell ref="AE177:AE178"/>
    <mergeCell ref="AF177:AF178"/>
    <mergeCell ref="AG177:AG178"/>
    <mergeCell ref="A3:A86"/>
    <mergeCell ref="A87:A94"/>
    <mergeCell ref="A95:A118"/>
    <mergeCell ref="A119:A140"/>
    <mergeCell ref="A141:A161"/>
    <mergeCell ref="A162:A179"/>
    <mergeCell ref="AN177:AN178"/>
    <mergeCell ref="AP177:AP178"/>
    <mergeCell ref="D177:D178"/>
    <mergeCell ref="E177:E178"/>
    <mergeCell ref="W177:W178"/>
    <mergeCell ref="X177:X178"/>
    <mergeCell ref="Y177:Y178"/>
    <mergeCell ref="Z177:Z178"/>
    <mergeCell ref="V177:V178"/>
    <mergeCell ref="AP134:AP137"/>
    <mergeCell ref="V134:V137"/>
    <mergeCell ref="W134:W137"/>
    <mergeCell ref="X134:X137"/>
    <mergeCell ref="J134:J137"/>
    <mergeCell ref="B134:B137"/>
    <mergeCell ref="C134:C137"/>
    <mergeCell ref="D134:D137"/>
    <mergeCell ref="AB147:AB148"/>
    <mergeCell ref="AA147:AA148"/>
    <mergeCell ref="Z147:Z148"/>
    <mergeCell ref="Y147:Y148"/>
    <mergeCell ref="AQ147:AQ148"/>
    <mergeCell ref="AP147:AP148"/>
    <mergeCell ref="AO147:AO148"/>
    <mergeCell ref="AN147:AN148"/>
    <mergeCell ref="AM147:AM148"/>
    <mergeCell ref="AL147:AL148"/>
    <mergeCell ref="AJ147:AJ148"/>
    <mergeCell ref="AK147:AK148"/>
    <mergeCell ref="AI147:AI148"/>
    <mergeCell ref="G147:G148"/>
    <mergeCell ref="F147:F148"/>
    <mergeCell ref="E147:E148"/>
    <mergeCell ref="D147:D148"/>
    <mergeCell ref="C147:C148"/>
    <mergeCell ref="B147:B148"/>
    <mergeCell ref="AP181:AQ181"/>
    <mergeCell ref="AM181:AN181"/>
    <mergeCell ref="S177:S178"/>
    <mergeCell ref="T177:T178"/>
    <mergeCell ref="P147:P148"/>
    <mergeCell ref="O147:O148"/>
    <mergeCell ref="N147:N148"/>
    <mergeCell ref="M147:M148"/>
    <mergeCell ref="L147:L148"/>
    <mergeCell ref="K147:K148"/>
    <mergeCell ref="J147:J148"/>
    <mergeCell ref="I147:I148"/>
    <mergeCell ref="H147:H148"/>
    <mergeCell ref="AH147:AH148"/>
    <mergeCell ref="AG147:AG148"/>
    <mergeCell ref="AF147:AF148"/>
    <mergeCell ref="AD147:AD148"/>
    <mergeCell ref="AC147:AC148"/>
  </mergeCells>
  <dataValidations count="5">
    <dataValidation type="list" allowBlank="1" showInputMessage="1" showErrorMessage="1" sqref="U33 U5 U2 U46" xr:uid="{CABDFA54-960D-BA42-A024-B557668FABAD}">
      <formula1>$V$2:$Y$2</formula1>
    </dataValidation>
    <dataValidation type="list" allowBlank="1" showInputMessage="1" showErrorMessage="1" sqref="U112:U113 U3:U4 U89 U143:U145 U180 U117 U165:U167 U147 U173 U43:U45 U169 U91:U98 U101 U104:U106 U139 U119:U132 U179 U175 U149:U161 U141 U108:U110 U26:U34 U6:U9 U11:U12 U49 U84:U87 U17:U24 U51:U55 U78:U82 U74:U75 U71:U72 U65:U68 U57:U59 U62:U63 U41 U36:U39" xr:uid="{589435A3-8D5B-F545-947C-D2B07CF46498}">
      <formula1>#REF!</formula1>
    </dataValidation>
    <dataValidation type="list" allowBlank="1" showInputMessage="1" showErrorMessage="1" sqref="AQ188:AQ1048576 AQ182:AQ185 AQ1:AQ180" xr:uid="{7576C9FB-BF9F-E349-BCCC-6CC2D83F65B6}">
      <formula1>$AV$3:$AV$5</formula1>
    </dataValidation>
    <dataValidation type="list" allowBlank="1" showInputMessage="1" showErrorMessage="1" sqref="AN1:AN10 AO112 AN12:AN111 AN113:AN1048576" xr:uid="{E04D0360-ED0F-2443-9CEB-AFCA3515C25D}">
      <formula1>$AW$3:$AW$5</formula1>
    </dataValidation>
    <dataValidation type="list" allowBlank="1" showInputMessage="1" showErrorMessage="1" sqref="AM2:AM180" xr:uid="{EECDBEC0-A8FC-A244-80E9-7D69E3995937}">
      <formula1>$AU$3:$AU$4</formula1>
    </dataValidation>
  </dataValidations>
  <hyperlinks>
    <hyperlink ref="E33" r:id="rId1" xr:uid="{C2FFDC3E-5646-BF41-ABA4-06C822A1B664}"/>
    <hyperlink ref="E5" r:id="rId2" xr:uid="{F32E357B-8E07-4E45-B8D1-A387C45B2882}"/>
    <hyperlink ref="E22" r:id="rId3" xr:uid="{C03C8A4C-7FC1-6549-9195-956F17D8B0CC}"/>
    <hyperlink ref="E62" r:id="rId4" xr:uid="{8D567294-7F7A-A347-A293-2BFDA9D59C97}"/>
    <hyperlink ref="E97" r:id="rId5" xr:uid="{2F25A585-3EEC-FE45-9751-711325EF02B5}"/>
    <hyperlink ref="E120" r:id="rId6" xr:uid="{E4C887A4-7483-D145-8BC1-88E32C699A05}"/>
    <hyperlink ref="E58" r:id="rId7" xr:uid="{60A6AB92-2A55-C447-8410-DF57B989874B}"/>
    <hyperlink ref="E123" r:id="rId8" xr:uid="{229EFC42-3B35-6549-BCCE-E40A4762A0FA}"/>
    <hyperlink ref="E26" r:id="rId9" xr:uid="{EE27AFD0-CBE6-D946-BE83-37EB8A943392}"/>
    <hyperlink ref="E65" r:id="rId10" xr:uid="{46DC8417-DE83-CD4B-90F9-5023E1A84C4F}"/>
    <hyperlink ref="E67" r:id="rId11" xr:uid="{9D80C4FD-335F-8D48-A9A5-C643C0E884BF}"/>
    <hyperlink ref="E6" r:id="rId12" xr:uid="{CEDA850D-A38E-1F44-95F6-AB6D175919F6}"/>
    <hyperlink ref="E8" r:id="rId13" xr:uid="{89E04BC9-7D1B-544F-8DB0-5EBF47542482}"/>
    <hyperlink ref="E30" r:id="rId14" xr:uid="{370962D9-B5C7-5E49-8303-0C3DAA060CF4}"/>
    <hyperlink ref="E112" r:id="rId15" xr:uid="{69F034C5-52EA-1349-BA19-86C48EFC5D23}"/>
    <hyperlink ref="E126" r:id="rId16" xr:uid="{A7E085F2-D7B7-CC4F-A832-70BF38947C7B}"/>
    <hyperlink ref="E57" r:id="rId17" xr:uid="{CCE3B797-790D-354F-8ACC-288246495E62}"/>
    <hyperlink ref="E36" r:id="rId18" xr:uid="{6247F33A-2E03-F44D-9F85-0B0AA4FC146D}"/>
    <hyperlink ref="E89" r:id="rId19" xr:uid="{97482469-B37D-F44E-80A2-DBAFA39B5BBD}"/>
    <hyperlink ref="E145" r:id="rId20" xr:uid="{157BD2DB-F706-664E-85C5-7344526C5455}"/>
    <hyperlink ref="E19" r:id="rId21" xr:uid="{23BEAE78-9AB6-2E40-A7FC-8DA90EBEC3C1}"/>
    <hyperlink ref="E131" r:id="rId22" xr:uid="{B3008BD5-E4B5-834A-809B-05A8152A9A0C}"/>
    <hyperlink ref="J93" r:id="rId23" xr:uid="{6455B304-005E-4F4F-81DA-3759C8D94519}"/>
    <hyperlink ref="E92" r:id="rId24" xr:uid="{B2C1AB1E-B826-B34E-9727-8E58888FF34A}"/>
    <hyperlink ref="E147" r:id="rId25" xr:uid="{BDD7B8B2-2F25-7349-8D7B-249A2B963133}"/>
    <hyperlink ref="E150" r:id="rId26" xr:uid="{B8D6AE4F-C75E-6C4A-AEE2-B75F38B1B82D}"/>
    <hyperlink ref="E149" r:id="rId27" xr:uid="{F5F0A48B-E695-F64A-B6C4-9C2860094582}"/>
    <hyperlink ref="E29" r:id="rId28" xr:uid="{D20C337C-1E2F-4E41-99B0-22F8F43B7A02}"/>
    <hyperlink ref="E132" r:id="rId29" xr:uid="{26AEDDF4-F22F-3742-BDE5-BFF44477091F}"/>
    <hyperlink ref="E156" r:id="rId30" xr:uid="{E79F7BC0-7325-6846-B8D1-F2E11C0FB02B}"/>
    <hyperlink ref="E82" r:id="rId31" xr:uid="{1DDF5C58-E4E5-E340-9220-EEFC2F4073A8}"/>
    <hyperlink ref="AK76" r:id="rId32" xr:uid="{27923350-D9F6-6143-B3E0-23C3AE186890}"/>
    <hyperlink ref="E85" r:id="rId33" xr:uid="{5B4DE2E0-A569-794D-BE23-56C4125553AB}"/>
    <hyperlink ref="E152" r:id="rId34" xr:uid="{12C95577-C7F2-0A49-8C64-7D78CEC85D29}"/>
    <hyperlink ref="AK152" r:id="rId35" xr:uid="{3A2AFBE6-8930-2645-BA9C-4548729A2520}"/>
    <hyperlink ref="AK140" r:id="rId36" xr:uid="{C73A7158-8F72-F849-B2F4-7116EEA389EF}"/>
    <hyperlink ref="E180" r:id="rId37" xr:uid="{70C129A9-A375-B74C-8622-BABB2BAD0224}"/>
    <hyperlink ref="E95" r:id="rId38" xr:uid="{AAC51C64-DAEC-6E4F-A576-5BAD545A0CE8}"/>
    <hyperlink ref="E119" r:id="rId39" xr:uid="{990FD42E-5835-C841-BA9B-D44FB53DD6B6}"/>
    <hyperlink ref="E166" r:id="rId40" xr:uid="{0C93B3A9-8D2A-1F4D-883F-041F161F2315}"/>
    <hyperlink ref="E87" r:id="rId41" xr:uid="{98109725-17BC-3745-9578-E073B52DD63E}"/>
    <hyperlink ref="AK87" r:id="rId42" xr:uid="{02299FC8-244B-C64F-B041-D0A93CFD8E9B}"/>
    <hyperlink ref="E21" r:id="rId43" xr:uid="{FA3E83E2-A934-ED4D-BD51-291FC5CDE883}"/>
    <hyperlink ref="E31" r:id="rId44" xr:uid="{E963E783-BB23-9A4C-A188-575C5AD7F1C4}"/>
    <hyperlink ref="E51" r:id="rId45" xr:uid="{A0DDEBDC-4B30-E445-A79F-E23C17BFDFB4}"/>
    <hyperlink ref="F35" r:id="rId46" display="https://ieeexplore.ieee.org/xpl/conhome/9623060/proceeding" xr:uid="{A551B81A-CEE4-2943-B20B-C83C48383CD7}"/>
    <hyperlink ref="E35" r:id="rId47" xr:uid="{42C429AF-0898-F94F-B956-6F9784F829B2}"/>
    <hyperlink ref="D35" r:id="rId48" display="https://ieeexplore.ieee.org/author/37088595154" xr:uid="{7A37FB13-BC4D-1F4F-856F-4C3D2F664CFB}"/>
    <hyperlink ref="E158" r:id="rId49" xr:uid="{95381E0B-0167-B44C-9D37-BBDEAAFD2B47}"/>
    <hyperlink ref="E164" r:id="rId50" xr:uid="{B97136ED-7565-CD4F-A6B6-7E5EF5321EB1}"/>
    <hyperlink ref="E165" r:id="rId51" xr:uid="{E4CD3770-9AB3-B54E-99DD-FC5DCE10E7C7}"/>
    <hyperlink ref="AK165" r:id="rId52" display="https://github.com/QUTcparg/PS_PAClassification" xr:uid="{284B2DD5-C884-B149-99AD-50A4EBDDF780}"/>
    <hyperlink ref="E141" r:id="rId53" xr:uid="{21328D67-2116-4C4B-AD94-D5A2D996143F}"/>
    <hyperlink ref="E143" r:id="rId54" xr:uid="{A60C202C-BE29-9244-9B17-F5C2642D9FC6}"/>
    <hyperlink ref="E167" r:id="rId55" xr:uid="{79C3B9F6-18AF-B745-890E-B3AFBFD95946}"/>
    <hyperlink ref="E101" r:id="rId56" xr:uid="{E9781947-88B6-B14F-A3C8-F2D4668803A0}"/>
    <hyperlink ref="D103" r:id="rId57" xr:uid="{29750001-4293-E044-996C-5BE5DE7CC49D}"/>
    <hyperlink ref="E151" r:id="rId58" xr:uid="{20868B38-609C-2B40-A827-B299A2C6EC75}"/>
    <hyperlink ref="E129" r:id="rId59" xr:uid="{5ABC1A33-251E-7446-BBD4-9FE0B3B373A7}"/>
    <hyperlink ref="E12" r:id="rId60" xr:uid="{6111BECE-66CE-BA4C-80A0-3950D91550D6}"/>
    <hyperlink ref="E24" r:id="rId61" xr:uid="{56EAB06C-467F-5943-8F27-12137D94444D}"/>
    <hyperlink ref="E169" r:id="rId62" xr:uid="{01495F93-6606-874A-898A-88DA0F74D9DE}"/>
    <hyperlink ref="E153" r:id="rId63" xr:uid="{9AD791C5-0BFB-DB45-A5D5-1E45AC54463F}"/>
    <hyperlink ref="E130" r:id="rId64" xr:uid="{82750119-4A0D-E745-AD65-5C22B6923305}"/>
    <hyperlink ref="E105" r:id="rId65" xr:uid="{DA7100C8-02BB-AF4C-99A8-F1A3B1413892}"/>
    <hyperlink ref="E110" r:id="rId66" xr:uid="{788B8E77-DF58-944A-8019-832CFD48B249}"/>
    <hyperlink ref="J94" r:id="rId67" xr:uid="{F5E404E9-9B78-5040-B58A-DB7FF5559E4D}"/>
    <hyperlink ref="E160" r:id="rId68" xr:uid="{6DB676E1-DC84-3040-BD4A-02E372DEEE9D}"/>
    <hyperlink ref="E175" r:id="rId69" xr:uid="{D0804AA1-36DD-A741-A28E-D865C1DF2630}"/>
    <hyperlink ref="E155" r:id="rId70" xr:uid="{0A2D8D6D-F195-3041-BAEC-09AB67C33543}"/>
    <hyperlink ref="E161" r:id="rId71" xr:uid="{4EDE8D2D-BBAA-BE48-9916-FCE5520651A2}"/>
    <hyperlink ref="E139" r:id="rId72" display="https://doi.org/10.1016/j.inffus.2017.01.004" xr:uid="{9656DAAE-5066-F740-8FCE-977C6106ACDE}"/>
    <hyperlink ref="E117" r:id="rId73" xr:uid="{13A87BCF-8B6C-F14E-ACE8-80F85B5AE45A}"/>
    <hyperlink ref="J111" r:id="rId74" xr:uid="{456937A8-4420-334F-B08A-283F9DB2256E}"/>
    <hyperlink ref="E16" r:id="rId75" xr:uid="{ED78431E-8F60-BE4C-B204-251B6588A925}"/>
    <hyperlink ref="E64" r:id="rId76" xr:uid="{30C90202-81E7-4449-A38A-3461E5F34476}"/>
    <hyperlink ref="E84" r:id="rId77" xr:uid="{CEA2ABC1-45CD-614B-A4CF-74F137458C5B}"/>
    <hyperlink ref="AK84" r:id="rId78" xr:uid="{4D4A3ED3-42E8-F24B-A5EA-72FC539EDE89}"/>
    <hyperlink ref="E81" r:id="rId79" xr:uid="{38894BB4-1383-C741-932C-55FD49C52DB4}"/>
    <hyperlink ref="E79" r:id="rId80" xr:uid="{653B976D-5C6E-5E46-A953-788C9B7CC8EB}"/>
    <hyperlink ref="E80" r:id="rId81" xr:uid="{F89D49E3-91E7-924B-BAB0-FFD38CA6FE4A}"/>
    <hyperlink ref="E78" r:id="rId82" xr:uid="{34DF253C-C348-3A4C-9F51-825435BD4B53}"/>
    <hyperlink ref="E74" r:id="rId83" xr:uid="{40AAB2B7-3BCE-7F43-9DC6-9FBF80E64C3D}"/>
    <hyperlink ref="E75" r:id="rId84" xr:uid="{6F40AF14-1D87-124D-83F9-CAFF3A97A57A}"/>
    <hyperlink ref="AK75" r:id="rId85" xr:uid="{2F13F854-AEBE-AF4D-BE60-BB9136E9D991}"/>
    <hyperlink ref="J72" r:id="rId86" xr:uid="{18DEAC01-1E77-614C-9833-4E20DDB4C8C7}"/>
    <hyperlink ref="E63" r:id="rId87" xr:uid="{AFF64643-ECBB-9B4B-A0DC-B8DBA8C27710}"/>
    <hyperlink ref="E54" r:id="rId88" xr:uid="{E9ED74EA-FDC5-B24C-81A7-1864FFD0B401}"/>
    <hyperlink ref="E52" r:id="rId89" xr:uid="{D57AF4B1-7890-CC43-BD0E-4CC2033CF167}"/>
    <hyperlink ref="E40" r:id="rId90" xr:uid="{2B66F6E9-F8E2-4644-B3CE-E3A833915948}"/>
    <hyperlink ref="E38" r:id="rId91" xr:uid="{D48216D2-3525-DA42-8637-8A92FD75D6E3}"/>
    <hyperlink ref="AK37" r:id="rId92" display="http://www.pr.informatik.uni-siegen.de/en/_x000a_human-activity-recognition" xr:uid="{AC79FF31-280B-A94D-8275-5AB9EB26B0FD}"/>
    <hyperlink ref="J14" r:id="rId93" xr:uid="{6EF7D285-CBBB-8A4E-A3C4-86E57AD025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9620-3E8B-8F4F-B217-38737507B98C}">
  <dimension ref="A1:E44"/>
  <sheetViews>
    <sheetView workbookViewId="0">
      <selection activeCell="D3" sqref="D3:D29"/>
    </sheetView>
  </sheetViews>
  <sheetFormatPr baseColWidth="10" defaultColWidth="11" defaultRowHeight="16" x14ac:dyDescent="0.2"/>
  <cols>
    <col min="1" max="1" width="25.83203125" customWidth="1"/>
    <col min="4" max="4" width="22.33203125" customWidth="1"/>
  </cols>
  <sheetData>
    <row r="1" spans="1:5" x14ac:dyDescent="0.2">
      <c r="A1" s="82" t="s">
        <v>1606</v>
      </c>
      <c r="B1" s="82" t="s">
        <v>1607</v>
      </c>
      <c r="D1" s="82" t="s">
        <v>1608</v>
      </c>
      <c r="E1" s="82" t="s">
        <v>1609</v>
      </c>
    </row>
    <row r="2" spans="1:5" x14ac:dyDescent="0.2">
      <c r="A2" t="str" cm="1">
        <f t="array" ref="A2:A44">_xlfn.UNIQUE(All_Data!H3:'All_Data'!H180)</f>
        <v>SC</v>
      </c>
      <c r="B2">
        <f>COUNTIF(All_Data!H3:'All_Data'!H180, A2)</f>
        <v>72</v>
      </c>
      <c r="D2" t="s">
        <v>54</v>
      </c>
      <c r="E2">
        <f>B2+B12+B13+B23+B25+B34+B35+B38+B39+B40+B41</f>
        <v>82</v>
      </c>
    </row>
    <row r="3" spans="1:5" x14ac:dyDescent="0.2">
      <c r="A3" t="str">
        <v>Bao + Intille</v>
      </c>
      <c r="B3">
        <f>COUNTIF(All_Data!H4:'All_Data'!H181, A3)</f>
        <v>1</v>
      </c>
      <c r="D3" t="s">
        <v>87</v>
      </c>
      <c r="E3">
        <f>B3+B20</f>
        <v>2</v>
      </c>
    </row>
    <row r="4" spans="1:5" x14ac:dyDescent="0.2">
      <c r="A4" t="str">
        <v>HHAR</v>
      </c>
      <c r="B4">
        <f>COUNTIF(All_Data!H5:'All_Data'!H182, A4)</f>
        <v>7</v>
      </c>
      <c r="D4" t="s">
        <v>98</v>
      </c>
      <c r="E4">
        <f>B4</f>
        <v>7</v>
      </c>
    </row>
    <row r="5" spans="1:5" x14ac:dyDescent="0.2">
      <c r="A5" t="str">
        <v>PAMAP2</v>
      </c>
      <c r="B5">
        <f>COUNTIF(All_Data!H6:'All_Data'!H183, A5)</f>
        <v>13</v>
      </c>
      <c r="D5" t="s">
        <v>109</v>
      </c>
      <c r="E5">
        <f>B5</f>
        <v>13</v>
      </c>
    </row>
    <row r="6" spans="1:5" x14ac:dyDescent="0.2">
      <c r="A6" t="str">
        <v>RealWorld HAR</v>
      </c>
      <c r="B6">
        <f>COUNTIF(All_Data!H7:'All_Data'!H184, A6)</f>
        <v>5</v>
      </c>
      <c r="D6" t="s">
        <v>124</v>
      </c>
      <c r="E6">
        <f>B34+B6</f>
        <v>6</v>
      </c>
    </row>
    <row r="7" spans="1:5" x14ac:dyDescent="0.2">
      <c r="A7" t="str">
        <v>Extrasensory</v>
      </c>
      <c r="B7">
        <f>COUNTIF(All_Data!H8:'All_Data'!H185, A7)</f>
        <v>1</v>
      </c>
      <c r="D7" t="s">
        <v>1610</v>
      </c>
      <c r="E7">
        <f>B7</f>
        <v>1</v>
      </c>
    </row>
    <row r="8" spans="1:5" x14ac:dyDescent="0.2">
      <c r="A8" t="str">
        <v>WHARF</v>
      </c>
      <c r="B8">
        <f>COUNTIF(All_Data!H9:'All_Data'!H186, A8)</f>
        <v>6</v>
      </c>
      <c r="D8" t="s">
        <v>209</v>
      </c>
      <c r="E8">
        <f>B8</f>
        <v>6</v>
      </c>
    </row>
    <row r="9" spans="1:5" x14ac:dyDescent="0.2">
      <c r="A9" t="str">
        <v>MHEALTH</v>
      </c>
      <c r="B9">
        <f>COUNTIF(All_Data!H10:'All_Data'!H187, A9)</f>
        <v>6</v>
      </c>
      <c r="D9" t="s">
        <v>236</v>
      </c>
      <c r="E9">
        <f>B10</f>
        <v>15</v>
      </c>
    </row>
    <row r="10" spans="1:5" x14ac:dyDescent="0.2">
      <c r="A10" t="str">
        <v>WISDM</v>
      </c>
      <c r="B10">
        <f>COUNTIF(All_Data!H11:'All_Data'!H188, A10)</f>
        <v>15</v>
      </c>
      <c r="D10" t="s">
        <v>246</v>
      </c>
      <c r="E10">
        <f>B11</f>
        <v>1</v>
      </c>
    </row>
    <row r="11" spans="1:5" x14ac:dyDescent="0.2">
      <c r="A11" t="str">
        <v>CAPTURE-24</v>
      </c>
      <c r="B11">
        <f>COUNTIF(All_Data!H12:'All_Data'!H189, A11)</f>
        <v>1</v>
      </c>
      <c r="D11" t="s">
        <v>303</v>
      </c>
      <c r="E11">
        <f>B14</f>
        <v>4</v>
      </c>
    </row>
    <row r="12" spans="1:5" x14ac:dyDescent="0.2">
      <c r="A12" t="str">
        <v>SC (Faculty of Sports)</v>
      </c>
      <c r="B12">
        <f>COUNTIF(All_Data!H13:'All_Data'!H190, A12)</f>
        <v>1</v>
      </c>
      <c r="D12" t="s">
        <v>356</v>
      </c>
      <c r="E12">
        <f>B16</f>
        <v>1</v>
      </c>
    </row>
    <row r="13" spans="1:5" x14ac:dyDescent="0.2">
      <c r="A13" t="str">
        <v>SC (JSI)</v>
      </c>
      <c r="B13">
        <f>COUNTIF(All_Data!H14:'All_Data'!H191, A13)</f>
        <v>1</v>
      </c>
      <c r="D13" t="s">
        <v>373</v>
      </c>
      <c r="E13">
        <f>B17+B38</f>
        <v>4</v>
      </c>
    </row>
    <row r="14" spans="1:5" x14ac:dyDescent="0.2">
      <c r="A14" t="str">
        <v>Opportunity</v>
      </c>
      <c r="B14">
        <f>COUNTIF(All_Data!H15:'All_Data'!H192, A14)</f>
        <v>4</v>
      </c>
      <c r="D14" t="s">
        <v>399</v>
      </c>
      <c r="E14">
        <f>B18</f>
        <v>2</v>
      </c>
    </row>
    <row r="15" spans="1:5" x14ac:dyDescent="0.2">
      <c r="A15" t="str">
        <v>Aggregated 14 datasets</v>
      </c>
      <c r="B15">
        <f>COUNTIF(All_Data!H16:'All_Data'!H193, A15)</f>
        <v>1</v>
      </c>
      <c r="D15" t="s">
        <v>427</v>
      </c>
      <c r="E15">
        <f>B19</f>
        <v>2</v>
      </c>
    </row>
    <row r="16" spans="1:5" x14ac:dyDescent="0.2">
      <c r="A16" t="str">
        <v>GENEActiv</v>
      </c>
      <c r="B16">
        <f>COUNTIF(All_Data!H17:'All_Data'!H194, A16)</f>
        <v>1</v>
      </c>
      <c r="D16" t="s">
        <v>448</v>
      </c>
      <c r="E16">
        <f>B21</f>
        <v>3</v>
      </c>
    </row>
    <row r="17" spans="1:5" x14ac:dyDescent="0.2">
      <c r="A17" t="str">
        <v>Mannini</v>
      </c>
      <c r="B17">
        <f>COUNTIF(All_Data!H18:'All_Data'!H195, A17)</f>
        <v>3</v>
      </c>
      <c r="D17" t="s">
        <v>1611</v>
      </c>
      <c r="E17">
        <f>B22</f>
        <v>1</v>
      </c>
    </row>
    <row r="18" spans="1:5" x14ac:dyDescent="0.2">
      <c r="A18" t="str">
        <v>SPHERE</v>
      </c>
      <c r="B18">
        <f>COUNTIF(All_Data!H19:'All_Data'!H196, A18)</f>
        <v>2</v>
      </c>
      <c r="D18" t="s">
        <v>497</v>
      </c>
      <c r="E18">
        <f>B24</f>
        <v>2</v>
      </c>
    </row>
    <row r="19" spans="1:5" x14ac:dyDescent="0.2">
      <c r="A19" t="str">
        <v>UK BioBank</v>
      </c>
      <c r="B19">
        <f>COUNTIF(All_Data!H20:'All_Data'!H197, A19)</f>
        <v>2</v>
      </c>
      <c r="D19" t="s">
        <v>551</v>
      </c>
      <c r="E19">
        <f t="shared" ref="E19:E25" si="0">B26</f>
        <v>3</v>
      </c>
    </row>
    <row r="20" spans="1:5" x14ac:dyDescent="0.2">
      <c r="A20" t="str">
        <v>MIT (not cited) Bao + Intille</v>
      </c>
      <c r="B20">
        <f>COUNTIF(All_Data!H21:'All_Data'!H198, A20)</f>
        <v>1</v>
      </c>
      <c r="D20" t="s">
        <v>1612</v>
      </c>
      <c r="E20">
        <f t="shared" si="0"/>
        <v>1</v>
      </c>
    </row>
    <row r="21" spans="1:5" x14ac:dyDescent="0.2">
      <c r="A21" t="str">
        <v>DaLiAc</v>
      </c>
      <c r="B21">
        <f>COUNTIF(All_Data!H22:'All_Data'!H199, A21)</f>
        <v>3</v>
      </c>
      <c r="D21" t="s">
        <v>1613</v>
      </c>
      <c r="E21">
        <f t="shared" si="0"/>
        <v>1</v>
      </c>
    </row>
    <row r="22" spans="1:5" x14ac:dyDescent="0.2">
      <c r="A22" t="str">
        <v xml:space="preserve">ASTRI </v>
      </c>
      <c r="B22">
        <f>COUNTIF(All_Data!H23:'All_Data'!H200, A22)</f>
        <v>1</v>
      </c>
      <c r="D22" t="s">
        <v>623</v>
      </c>
      <c r="E22">
        <f t="shared" si="0"/>
        <v>1</v>
      </c>
    </row>
    <row r="23" spans="1:5" x14ac:dyDescent="0.2">
      <c r="A23" t="str">
        <v>SC (WSMC-HAR)</v>
      </c>
      <c r="B23">
        <f>COUNTIF(All_Data!H24:'All_Data'!H201, A23)</f>
        <v>2</v>
      </c>
      <c r="D23" t="s">
        <v>631</v>
      </c>
      <c r="E23">
        <f t="shared" si="0"/>
        <v>1</v>
      </c>
    </row>
    <row r="24" spans="1:5" x14ac:dyDescent="0.2">
      <c r="A24" t="str">
        <v>Cleland</v>
      </c>
      <c r="B24">
        <f>COUNTIF(All_Data!H25:'All_Data'!H202, A24)</f>
        <v>2</v>
      </c>
      <c r="D24" t="s">
        <v>646</v>
      </c>
      <c r="E24">
        <f t="shared" si="0"/>
        <v>1</v>
      </c>
    </row>
    <row r="25" spans="1:5" x14ac:dyDescent="0.2">
      <c r="A25" t="str">
        <v>SC (ChoresXL)</v>
      </c>
      <c r="B25">
        <f>COUNTIF(All_Data!H26:'All_Data'!H203, A25)</f>
        <v>1</v>
      </c>
      <c r="D25" t="s">
        <v>1614</v>
      </c>
      <c r="E25">
        <f t="shared" si="0"/>
        <v>1</v>
      </c>
    </row>
    <row r="26" spans="1:5" x14ac:dyDescent="0.2">
      <c r="A26" t="str">
        <v>DHA</v>
      </c>
      <c r="B26">
        <f>COUNTIF(All_Data!H27:'All_Data'!H204, A26)</f>
        <v>3</v>
      </c>
      <c r="D26" t="s">
        <v>1164</v>
      </c>
      <c r="E26">
        <f>B41</f>
        <v>1</v>
      </c>
    </row>
    <row r="27" spans="1:5" x14ac:dyDescent="0.2">
      <c r="A27" t="str">
        <v>IM-Sporting Behaviors Dataset</v>
      </c>
      <c r="B27">
        <f>COUNTIF(All_Data!H28:'All_Data'!H205, A27)</f>
        <v>1</v>
      </c>
      <c r="D27" t="s">
        <v>1168</v>
      </c>
      <c r="E27">
        <f>B42</f>
        <v>1</v>
      </c>
    </row>
    <row r="28" spans="1:5" x14ac:dyDescent="0.2">
      <c r="A28" t="str">
        <v>TWristAR</v>
      </c>
      <c r="B28">
        <f>COUNTIF(All_Data!H29:'All_Data'!H206, A28)</f>
        <v>1</v>
      </c>
      <c r="D28" t="s">
        <v>1175</v>
      </c>
      <c r="E28">
        <f>B43</f>
        <v>3</v>
      </c>
    </row>
    <row r="29" spans="1:5" x14ac:dyDescent="0.2">
      <c r="A29" t="str">
        <v>HMP</v>
      </c>
      <c r="B29">
        <f>COUNTIF(All_Data!H30:'All_Data'!H207, A29)</f>
        <v>1</v>
      </c>
      <c r="D29" t="s">
        <v>219</v>
      </c>
      <c r="E29">
        <f>B9</f>
        <v>6</v>
      </c>
    </row>
    <row r="30" spans="1:5" x14ac:dyDescent="0.2">
      <c r="A30" t="str">
        <v>GOTOv</v>
      </c>
      <c r="B30">
        <f>COUNTIF(All_Data!H31:'All_Data'!H208, A30)</f>
        <v>1</v>
      </c>
    </row>
    <row r="31" spans="1:5" x14ac:dyDescent="0.2">
      <c r="A31" t="str">
        <v>harAGE</v>
      </c>
      <c r="B31">
        <f>COUNTIF(All_Data!H32:'All_Data'!H209, A31)</f>
        <v>1</v>
      </c>
    </row>
    <row r="32" spans="1:5" x14ac:dyDescent="0.2">
      <c r="A32" t="str">
        <v>SHL (Preview)</v>
      </c>
      <c r="B32">
        <f>COUNTIF(All_Data!H33:'All_Data'!H210, A32)</f>
        <v>1</v>
      </c>
    </row>
    <row r="33" spans="1:2" x14ac:dyDescent="0.2">
      <c r="A33" t="str">
        <v>SC (DAAD)</v>
      </c>
      <c r="B33">
        <f>COUNTIF(All_Data!H34:'All_Data'!H211, A33)</f>
        <v>1</v>
      </c>
    </row>
    <row r="34" spans="1:2" x14ac:dyDescent="0.2">
      <c r="A34" t="str">
        <v>SC (Realworld HAR)</v>
      </c>
      <c r="B34">
        <f>COUNTIF(All_Data!H35:'All_Data'!H212, A34)</f>
        <v>1</v>
      </c>
    </row>
    <row r="35" spans="1:2" x14ac:dyDescent="0.2">
      <c r="A35">
        <v>0</v>
      </c>
      <c r="B35">
        <f>COUNTIF(All_Data!H36:'All_Data'!H213, A35)</f>
        <v>0</v>
      </c>
    </row>
    <row r="36" spans="1:2" x14ac:dyDescent="0.2">
      <c r="A36" t="str">
        <v>SC (SelfBack)</v>
      </c>
      <c r="B36">
        <f>COUNTIF(All_Data!H37:'All_Data'!H214, A36)</f>
        <v>1</v>
      </c>
    </row>
    <row r="37" spans="1:2" x14ac:dyDescent="0.2">
      <c r="A37" t="str">
        <v>SC (WEAR)</v>
      </c>
      <c r="B37">
        <f>COUNTIF(All_Data!H38:'All_Data'!H215, A37)</f>
        <v>1</v>
      </c>
    </row>
    <row r="38" spans="1:2" x14ac:dyDescent="0.2">
      <c r="A38" t="str">
        <v>SC (Mannini)</v>
      </c>
      <c r="B38">
        <f>COUNTIF(All_Data!H39:'All_Data'!H216, A38)</f>
        <v>1</v>
      </c>
    </row>
    <row r="39" spans="1:2" x14ac:dyDescent="0.2">
      <c r="A39" t="str">
        <v xml:space="preserve">SC (PAAWS) </v>
      </c>
      <c r="B39">
        <f>COUNTIF(All_Data!H40:'All_Data'!H217, A39)</f>
        <v>1</v>
      </c>
    </row>
    <row r="40" spans="1:2" x14ac:dyDescent="0.2">
      <c r="A40" t="str">
        <v>SC? (Seems to be WISDM, not credited)</v>
      </c>
      <c r="B40">
        <f>COUNTIF(All_Data!H41:'All_Data'!H218, A40)</f>
        <v>1</v>
      </c>
    </row>
    <row r="41" spans="1:2" x14ac:dyDescent="0.2">
      <c r="A41" t="str">
        <v>IMEC</v>
      </c>
      <c r="B41">
        <f>COUNTIF(All_Data!H42:'All_Data'!H219, A41)</f>
        <v>1</v>
      </c>
    </row>
    <row r="42" spans="1:2" x14ac:dyDescent="0.2">
      <c r="A42" t="str">
        <v>Oulu</v>
      </c>
      <c r="B42">
        <f>COUNTIF(All_Data!H43:'All_Data'!H220, A42)</f>
        <v>1</v>
      </c>
    </row>
    <row r="43" spans="1:2" x14ac:dyDescent="0.2">
      <c r="A43" t="str">
        <v>DSADS</v>
      </c>
      <c r="B43">
        <f>COUNTIF(All_Data!H44:'All_Data'!H221, A43)</f>
        <v>3</v>
      </c>
    </row>
    <row r="44" spans="1:2" x14ac:dyDescent="0.2">
      <c r="A44" t="str">
        <v>Unnamed Daily activities</v>
      </c>
      <c r="B44">
        <f>COUNTIF(All_Data!H45:'All_Data'!H222, A44)</f>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0A16-DC4F-664D-9D17-B8D43C79D57A}">
  <dimension ref="A1:Y178"/>
  <sheetViews>
    <sheetView workbookViewId="0">
      <pane xSplit="1" ySplit="1" topLeftCell="B2" activePane="bottomRight" state="frozen"/>
      <selection pane="topRight" activeCell="D1" sqref="D1"/>
      <selection pane="bottomLeft" activeCell="A2" sqref="A2"/>
      <selection pane="bottomRight" activeCell="E10" sqref="E10"/>
    </sheetView>
  </sheetViews>
  <sheetFormatPr baseColWidth="10" defaultColWidth="11" defaultRowHeight="16" x14ac:dyDescent="0.2"/>
  <cols>
    <col min="3" max="3" width="12.1640625" customWidth="1"/>
    <col min="4" max="4" width="13.33203125" customWidth="1"/>
    <col min="22" max="22" width="13.6640625" customWidth="1"/>
    <col min="23" max="23" width="15.6640625" customWidth="1"/>
  </cols>
  <sheetData>
    <row r="1" spans="1:24" x14ac:dyDescent="0.2">
      <c r="A1" t="s">
        <v>5</v>
      </c>
      <c r="B1" t="s">
        <v>6</v>
      </c>
      <c r="C1" t="s">
        <v>7</v>
      </c>
      <c r="D1" t="s">
        <v>8</v>
      </c>
      <c r="E1" t="s">
        <v>1615</v>
      </c>
      <c r="F1" t="s">
        <v>1616</v>
      </c>
      <c r="G1" t="s">
        <v>1617</v>
      </c>
      <c r="H1" t="s">
        <v>1618</v>
      </c>
      <c r="I1" t="s">
        <v>1619</v>
      </c>
      <c r="J1" t="s">
        <v>1620</v>
      </c>
      <c r="K1" t="s">
        <v>1621</v>
      </c>
      <c r="L1" t="s">
        <v>1622</v>
      </c>
      <c r="M1" t="s">
        <v>1623</v>
      </c>
      <c r="N1" t="s">
        <v>1624</v>
      </c>
      <c r="O1" t="s">
        <v>1625</v>
      </c>
      <c r="P1" t="s">
        <v>120</v>
      </c>
      <c r="Q1" t="s">
        <v>222</v>
      </c>
      <c r="R1" t="s">
        <v>147</v>
      </c>
      <c r="S1" t="s">
        <v>614</v>
      </c>
      <c r="T1" t="s">
        <v>112</v>
      </c>
      <c r="U1" t="s">
        <v>134</v>
      </c>
      <c r="V1" t="s">
        <v>1626</v>
      </c>
      <c r="W1" t="s">
        <v>1627</v>
      </c>
      <c r="X1" t="s">
        <v>1628</v>
      </c>
    </row>
    <row r="2" spans="1:24" ht="16" customHeight="1" x14ac:dyDescent="0.2">
      <c r="A2" s="140" t="s">
        <v>1629</v>
      </c>
      <c r="B2">
        <v>66</v>
      </c>
      <c r="C2" t="s">
        <v>50</v>
      </c>
      <c r="D2" t="s">
        <v>51</v>
      </c>
      <c r="E2" t="s">
        <v>1630</v>
      </c>
      <c r="F2" t="s">
        <v>1630</v>
      </c>
      <c r="G2" t="s">
        <v>1630</v>
      </c>
      <c r="H2" t="s">
        <v>1630</v>
      </c>
      <c r="I2" t="s">
        <v>1630</v>
      </c>
      <c r="J2" t="s">
        <v>1630</v>
      </c>
      <c r="K2" t="s">
        <v>1630</v>
      </c>
      <c r="L2" t="s">
        <v>1631</v>
      </c>
      <c r="M2" t="s">
        <v>1631</v>
      </c>
      <c r="O2" t="s">
        <v>1631</v>
      </c>
      <c r="Q2" t="s">
        <v>1630</v>
      </c>
      <c r="R2" t="s">
        <v>1630</v>
      </c>
      <c r="S2" t="s">
        <v>1630</v>
      </c>
      <c r="T2" t="s">
        <v>1630</v>
      </c>
      <c r="U2" t="s">
        <v>1630</v>
      </c>
      <c r="V2" t="s">
        <v>1630</v>
      </c>
      <c r="W2" t="s">
        <v>1630</v>
      </c>
      <c r="X2" t="s">
        <v>1631</v>
      </c>
    </row>
    <row r="3" spans="1:24" x14ac:dyDescent="0.2">
      <c r="A3" s="140"/>
      <c r="B3">
        <v>94</v>
      </c>
      <c r="C3" t="s">
        <v>70</v>
      </c>
      <c r="D3" t="s">
        <v>51</v>
      </c>
      <c r="E3" t="s">
        <v>1630</v>
      </c>
      <c r="F3" t="s">
        <v>1631</v>
      </c>
      <c r="G3" t="s">
        <v>1630</v>
      </c>
      <c r="H3" t="s">
        <v>1630</v>
      </c>
      <c r="I3" t="s">
        <v>1630</v>
      </c>
      <c r="J3" t="s">
        <v>1630</v>
      </c>
      <c r="K3" t="s">
        <v>1630</v>
      </c>
      <c r="L3" t="s">
        <v>1631</v>
      </c>
      <c r="M3" t="s">
        <v>1631</v>
      </c>
      <c r="O3" t="s">
        <v>1631</v>
      </c>
      <c r="P3" t="s">
        <v>1631</v>
      </c>
      <c r="Q3" t="s">
        <v>1630</v>
      </c>
      <c r="R3" t="s">
        <v>1630</v>
      </c>
      <c r="S3" t="s">
        <v>1630</v>
      </c>
      <c r="T3" t="s">
        <v>1630</v>
      </c>
      <c r="U3" t="s">
        <v>1630</v>
      </c>
      <c r="V3" t="s">
        <v>1630</v>
      </c>
      <c r="W3" t="s">
        <v>1630</v>
      </c>
      <c r="X3" t="s">
        <v>1631</v>
      </c>
    </row>
    <row r="4" spans="1:24" x14ac:dyDescent="0.2">
      <c r="A4" s="140"/>
      <c r="B4">
        <v>5</v>
      </c>
      <c r="C4" t="s">
        <v>83</v>
      </c>
      <c r="D4" t="s">
        <v>84</v>
      </c>
      <c r="E4" t="s">
        <v>1630</v>
      </c>
      <c r="F4" t="s">
        <v>1630</v>
      </c>
      <c r="G4" t="s">
        <v>1630</v>
      </c>
      <c r="H4" t="s">
        <v>1630</v>
      </c>
      <c r="I4" t="s">
        <v>1631</v>
      </c>
      <c r="J4" t="s">
        <v>1630</v>
      </c>
      <c r="K4" t="s">
        <v>1632</v>
      </c>
      <c r="L4" t="s">
        <v>1630</v>
      </c>
      <c r="M4" t="s">
        <v>1631</v>
      </c>
      <c r="O4" t="s">
        <v>1631</v>
      </c>
      <c r="Q4" t="s">
        <v>1630</v>
      </c>
      <c r="R4" t="s">
        <v>1630</v>
      </c>
      <c r="S4" t="s">
        <v>1630</v>
      </c>
      <c r="T4" t="s">
        <v>1630</v>
      </c>
      <c r="U4" t="s">
        <v>1630</v>
      </c>
      <c r="V4" t="s">
        <v>1630</v>
      </c>
      <c r="W4" t="s">
        <v>1630</v>
      </c>
      <c r="X4" t="s">
        <v>1631</v>
      </c>
    </row>
    <row r="5" spans="1:24" x14ac:dyDescent="0.2">
      <c r="A5" s="140"/>
      <c r="B5">
        <v>24</v>
      </c>
      <c r="C5" t="s">
        <v>95</v>
      </c>
      <c r="D5" t="s">
        <v>96</v>
      </c>
      <c r="E5" t="s">
        <v>1630</v>
      </c>
      <c r="F5" t="s">
        <v>1630</v>
      </c>
      <c r="G5" t="s">
        <v>1630</v>
      </c>
      <c r="H5" t="s">
        <v>1630</v>
      </c>
      <c r="I5" t="s">
        <v>1631</v>
      </c>
      <c r="J5" t="s">
        <v>1630</v>
      </c>
      <c r="K5" t="s">
        <v>1631</v>
      </c>
      <c r="L5" t="s">
        <v>1630</v>
      </c>
      <c r="M5" t="s">
        <v>1631</v>
      </c>
      <c r="O5" t="s">
        <v>1631</v>
      </c>
      <c r="Q5" t="s">
        <v>1630</v>
      </c>
      <c r="R5" t="s">
        <v>1630</v>
      </c>
      <c r="S5" t="s">
        <v>1630</v>
      </c>
      <c r="T5" t="s">
        <v>1631</v>
      </c>
      <c r="U5" t="s">
        <v>1630</v>
      </c>
      <c r="V5" t="s">
        <v>1631</v>
      </c>
      <c r="W5" t="s">
        <v>1631</v>
      </c>
      <c r="X5" t="s">
        <v>1630</v>
      </c>
    </row>
    <row r="6" spans="1:24" x14ac:dyDescent="0.2">
      <c r="A6" s="140"/>
      <c r="B6">
        <v>25</v>
      </c>
      <c r="C6" t="s">
        <v>113</v>
      </c>
      <c r="D6" t="s">
        <v>114</v>
      </c>
      <c r="E6" t="s">
        <v>1631</v>
      </c>
      <c r="F6" t="s">
        <v>1631</v>
      </c>
      <c r="G6" t="s">
        <v>1632</v>
      </c>
      <c r="H6" t="s">
        <v>1631</v>
      </c>
      <c r="I6" t="s">
        <v>1631</v>
      </c>
      <c r="J6" t="s">
        <v>1630</v>
      </c>
      <c r="K6" t="s">
        <v>1631</v>
      </c>
      <c r="L6" t="s">
        <v>1630</v>
      </c>
      <c r="M6" t="s">
        <v>1631</v>
      </c>
      <c r="P6" t="s">
        <v>1631</v>
      </c>
      <c r="Q6" t="s">
        <v>1630</v>
      </c>
      <c r="R6" t="s">
        <v>1630</v>
      </c>
      <c r="S6" t="s">
        <v>1630</v>
      </c>
      <c r="T6" t="s">
        <v>1630</v>
      </c>
      <c r="U6" t="s">
        <v>1630</v>
      </c>
      <c r="V6" t="s">
        <v>1630</v>
      </c>
      <c r="W6" t="s">
        <v>1631</v>
      </c>
      <c r="X6" t="s">
        <v>1630</v>
      </c>
    </row>
    <row r="7" spans="1:24" x14ac:dyDescent="0.2">
      <c r="A7" s="140"/>
      <c r="B7">
        <v>151</v>
      </c>
      <c r="C7" t="s">
        <v>126</v>
      </c>
      <c r="D7" t="s">
        <v>127</v>
      </c>
      <c r="E7" t="s">
        <v>1630</v>
      </c>
      <c r="F7" t="s">
        <v>1630</v>
      </c>
      <c r="G7" t="s">
        <v>1630</v>
      </c>
      <c r="H7" t="s">
        <v>1630</v>
      </c>
      <c r="I7" t="s">
        <v>1631</v>
      </c>
      <c r="J7" t="s">
        <v>1630</v>
      </c>
      <c r="K7" t="s">
        <v>1630</v>
      </c>
      <c r="L7" t="s">
        <v>1631</v>
      </c>
      <c r="M7" t="s">
        <v>1631</v>
      </c>
      <c r="N7" t="s">
        <v>1631</v>
      </c>
      <c r="Q7" t="s">
        <v>1630</v>
      </c>
      <c r="R7" t="s">
        <v>1630</v>
      </c>
      <c r="S7" t="s">
        <v>1630</v>
      </c>
      <c r="T7" t="s">
        <v>1630</v>
      </c>
      <c r="U7" t="s">
        <v>1631</v>
      </c>
      <c r="V7" t="s">
        <v>1630</v>
      </c>
      <c r="W7" t="s">
        <v>1631</v>
      </c>
      <c r="X7" t="s">
        <v>1630</v>
      </c>
    </row>
    <row r="8" spans="1:24" x14ac:dyDescent="0.2">
      <c r="A8" s="140"/>
      <c r="B8">
        <v>59</v>
      </c>
      <c r="C8" t="s">
        <v>141</v>
      </c>
      <c r="D8" t="s">
        <v>142</v>
      </c>
      <c r="E8" t="s">
        <v>1630</v>
      </c>
      <c r="F8" t="s">
        <v>1630</v>
      </c>
      <c r="G8" t="s">
        <v>1630</v>
      </c>
      <c r="H8" t="s">
        <v>1630</v>
      </c>
      <c r="I8" t="s">
        <v>1630</v>
      </c>
      <c r="J8" t="s">
        <v>1630</v>
      </c>
      <c r="K8" t="s">
        <v>1630</v>
      </c>
      <c r="L8" t="s">
        <v>1630</v>
      </c>
      <c r="M8" t="s">
        <v>1631</v>
      </c>
      <c r="O8" t="s">
        <v>1631</v>
      </c>
      <c r="Q8" t="s">
        <v>1630</v>
      </c>
      <c r="R8" t="s">
        <v>1631</v>
      </c>
      <c r="S8" t="s">
        <v>1630</v>
      </c>
      <c r="T8" t="s">
        <v>1630</v>
      </c>
      <c r="U8" t="s">
        <v>1630</v>
      </c>
      <c r="V8" t="s">
        <v>1630</v>
      </c>
      <c r="W8" t="s">
        <v>1630</v>
      </c>
      <c r="X8" t="s">
        <v>1631</v>
      </c>
    </row>
    <row r="9" spans="1:24" x14ac:dyDescent="0.2">
      <c r="A9" s="140"/>
      <c r="B9">
        <v>39</v>
      </c>
      <c r="C9" t="s">
        <v>154</v>
      </c>
      <c r="D9" t="s">
        <v>155</v>
      </c>
      <c r="E9" t="s">
        <v>1630</v>
      </c>
      <c r="F9" t="s">
        <v>1630</v>
      </c>
      <c r="G9" t="s">
        <v>1630</v>
      </c>
      <c r="H9" t="s">
        <v>1630</v>
      </c>
      <c r="I9" t="s">
        <v>1630</v>
      </c>
      <c r="J9" t="s">
        <v>1630</v>
      </c>
      <c r="K9" t="s">
        <v>1630</v>
      </c>
      <c r="L9" t="s">
        <v>1631</v>
      </c>
      <c r="M9" t="s">
        <v>1630</v>
      </c>
      <c r="P9" t="s">
        <v>1631</v>
      </c>
      <c r="Q9" t="s">
        <v>1630</v>
      </c>
      <c r="R9" t="s">
        <v>1631</v>
      </c>
      <c r="S9" t="s">
        <v>1630</v>
      </c>
      <c r="T9" t="s">
        <v>1630</v>
      </c>
      <c r="U9" t="s">
        <v>1630</v>
      </c>
      <c r="V9" t="s">
        <v>1630</v>
      </c>
      <c r="W9" t="s">
        <v>1631</v>
      </c>
      <c r="X9" t="s">
        <v>1630</v>
      </c>
    </row>
    <row r="10" spans="1:24" x14ac:dyDescent="0.2">
      <c r="A10" s="140"/>
      <c r="B10">
        <v>132</v>
      </c>
      <c r="C10" t="s">
        <v>164</v>
      </c>
      <c r="D10" t="s">
        <v>165</v>
      </c>
      <c r="E10" t="s">
        <v>1631</v>
      </c>
      <c r="F10" t="s">
        <v>1631</v>
      </c>
      <c r="G10" t="s">
        <v>1630</v>
      </c>
      <c r="H10" t="s">
        <v>1631</v>
      </c>
      <c r="I10" t="s">
        <v>1631</v>
      </c>
      <c r="J10" t="s">
        <v>1630</v>
      </c>
      <c r="K10" t="s">
        <v>1631</v>
      </c>
      <c r="L10" t="s">
        <v>1631</v>
      </c>
      <c r="M10" t="s">
        <v>1631</v>
      </c>
      <c r="P10" t="s">
        <v>1631</v>
      </c>
      <c r="Q10" t="s">
        <v>1630</v>
      </c>
      <c r="R10" t="s">
        <v>1631</v>
      </c>
      <c r="S10" t="s">
        <v>1630</v>
      </c>
      <c r="T10" t="s">
        <v>1631</v>
      </c>
      <c r="U10" t="s">
        <v>1630</v>
      </c>
      <c r="W10" t="s">
        <v>1631</v>
      </c>
      <c r="X10" t="s">
        <v>1631</v>
      </c>
    </row>
    <row r="11" spans="1:24" x14ac:dyDescent="0.2">
      <c r="A11" s="140"/>
      <c r="B11">
        <v>155</v>
      </c>
      <c r="C11" t="s">
        <v>181</v>
      </c>
      <c r="D11" t="s">
        <v>182</v>
      </c>
      <c r="E11" t="s">
        <v>1631</v>
      </c>
      <c r="F11" t="s">
        <v>1631</v>
      </c>
      <c r="G11" t="s">
        <v>1630</v>
      </c>
      <c r="H11" t="s">
        <v>1631</v>
      </c>
      <c r="I11" t="s">
        <v>1631</v>
      </c>
      <c r="J11" t="s">
        <v>1630</v>
      </c>
      <c r="K11" t="s">
        <v>1630</v>
      </c>
      <c r="L11" t="s">
        <v>1632</v>
      </c>
      <c r="M11" t="s">
        <v>1631</v>
      </c>
      <c r="O11" t="s">
        <v>1631</v>
      </c>
      <c r="Q11" t="s">
        <v>1630</v>
      </c>
      <c r="R11" t="s">
        <v>1630</v>
      </c>
      <c r="S11" t="s">
        <v>1630</v>
      </c>
      <c r="T11" t="s">
        <v>1630</v>
      </c>
      <c r="U11" t="s">
        <v>1630</v>
      </c>
      <c r="V11" t="s">
        <v>1630</v>
      </c>
      <c r="W11" t="s">
        <v>1630</v>
      </c>
      <c r="X11" t="s">
        <v>1631</v>
      </c>
    </row>
    <row r="12" spans="1:24" x14ac:dyDescent="0.2">
      <c r="A12" s="140"/>
      <c r="B12">
        <v>83</v>
      </c>
      <c r="C12" t="s">
        <v>196</v>
      </c>
      <c r="D12" t="s">
        <v>197</v>
      </c>
      <c r="E12" t="s">
        <v>1630</v>
      </c>
      <c r="F12" t="s">
        <v>1631</v>
      </c>
      <c r="G12" t="s">
        <v>1630</v>
      </c>
      <c r="H12" t="s">
        <v>1630</v>
      </c>
      <c r="I12" t="s">
        <v>1630</v>
      </c>
      <c r="J12" t="s">
        <v>1630</v>
      </c>
      <c r="K12" t="s">
        <v>1630</v>
      </c>
      <c r="L12" t="s">
        <v>1630</v>
      </c>
      <c r="M12" t="s">
        <v>1631</v>
      </c>
      <c r="P12" t="s">
        <v>1631</v>
      </c>
      <c r="Q12" t="s">
        <v>1630</v>
      </c>
      <c r="R12" t="s">
        <v>1630</v>
      </c>
      <c r="S12" t="s">
        <v>1630</v>
      </c>
      <c r="T12" t="s">
        <v>1631</v>
      </c>
      <c r="U12" t="s">
        <v>1630</v>
      </c>
      <c r="V12" t="s">
        <v>1631</v>
      </c>
      <c r="W12" t="s">
        <v>1630</v>
      </c>
      <c r="X12" t="s">
        <v>1630</v>
      </c>
    </row>
    <row r="13" spans="1:24" x14ac:dyDescent="0.2">
      <c r="A13" s="140"/>
      <c r="B13">
        <v>99</v>
      </c>
      <c r="C13" t="s">
        <v>205</v>
      </c>
      <c r="D13" t="s">
        <v>206</v>
      </c>
      <c r="E13" t="s">
        <v>1630</v>
      </c>
      <c r="F13" t="s">
        <v>1630</v>
      </c>
      <c r="G13" t="s">
        <v>1630</v>
      </c>
      <c r="H13" t="s">
        <v>1630</v>
      </c>
      <c r="I13" t="s">
        <v>1631</v>
      </c>
      <c r="J13" t="s">
        <v>1630</v>
      </c>
      <c r="K13" t="s">
        <v>1630</v>
      </c>
      <c r="L13" t="s">
        <v>1631</v>
      </c>
      <c r="M13" t="s">
        <v>1631</v>
      </c>
      <c r="N13" t="s">
        <v>1631</v>
      </c>
      <c r="Q13" t="s">
        <v>1630</v>
      </c>
      <c r="R13" t="s">
        <v>1630</v>
      </c>
      <c r="S13" t="s">
        <v>1630</v>
      </c>
      <c r="T13" t="s">
        <v>1630</v>
      </c>
      <c r="U13" t="s">
        <v>1630</v>
      </c>
      <c r="V13" t="s">
        <v>1630</v>
      </c>
      <c r="W13" t="s">
        <v>1631</v>
      </c>
      <c r="X13" t="s">
        <v>1630</v>
      </c>
    </row>
    <row r="14" spans="1:24" x14ac:dyDescent="0.2">
      <c r="A14" s="140"/>
      <c r="B14">
        <v>46</v>
      </c>
      <c r="C14" t="s">
        <v>216</v>
      </c>
      <c r="D14" t="s">
        <v>217</v>
      </c>
      <c r="E14" t="s">
        <v>1630</v>
      </c>
      <c r="F14" t="s">
        <v>1630</v>
      </c>
      <c r="G14" t="s">
        <v>1630</v>
      </c>
      <c r="H14" t="s">
        <v>1630</v>
      </c>
      <c r="I14" t="s">
        <v>1631</v>
      </c>
      <c r="J14" t="s">
        <v>1630</v>
      </c>
      <c r="K14" t="s">
        <v>1630</v>
      </c>
      <c r="L14" t="s">
        <v>1631</v>
      </c>
      <c r="M14" t="s">
        <v>1631</v>
      </c>
      <c r="O14" t="s">
        <v>1631</v>
      </c>
      <c r="Q14" t="s">
        <v>1631</v>
      </c>
      <c r="R14" t="s">
        <v>1630</v>
      </c>
      <c r="S14" t="s">
        <v>1630</v>
      </c>
      <c r="T14" t="s">
        <v>1630</v>
      </c>
      <c r="U14" t="s">
        <v>1630</v>
      </c>
      <c r="V14" t="s">
        <v>1631</v>
      </c>
      <c r="W14" t="s">
        <v>1630</v>
      </c>
      <c r="X14" t="s">
        <v>1630</v>
      </c>
    </row>
    <row r="15" spans="1:24" x14ac:dyDescent="0.2">
      <c r="A15" s="140"/>
      <c r="B15">
        <v>87</v>
      </c>
      <c r="C15" t="s">
        <v>228</v>
      </c>
      <c r="D15" t="s">
        <v>229</v>
      </c>
      <c r="E15" t="s">
        <v>1630</v>
      </c>
      <c r="F15" t="s">
        <v>1630</v>
      </c>
      <c r="G15" t="s">
        <v>1630</v>
      </c>
      <c r="H15" t="s">
        <v>1630</v>
      </c>
      <c r="I15" t="s">
        <v>1631</v>
      </c>
      <c r="J15" t="s">
        <v>1630</v>
      </c>
      <c r="K15" t="s">
        <v>1631</v>
      </c>
      <c r="L15" t="s">
        <v>1631</v>
      </c>
      <c r="M15" t="s">
        <v>1631</v>
      </c>
      <c r="P15" t="s">
        <v>1631</v>
      </c>
      <c r="Q15" t="s">
        <v>1631</v>
      </c>
      <c r="R15" t="s">
        <v>1630</v>
      </c>
      <c r="S15" t="s">
        <v>1630</v>
      </c>
      <c r="T15" t="s">
        <v>1630</v>
      </c>
      <c r="U15" t="s">
        <v>1630</v>
      </c>
      <c r="V15" t="s">
        <v>1631</v>
      </c>
      <c r="W15" t="s">
        <v>1630</v>
      </c>
      <c r="X15" t="s">
        <v>1630</v>
      </c>
    </row>
    <row r="16" spans="1:24" x14ac:dyDescent="0.2">
      <c r="A16" s="140"/>
      <c r="B16">
        <v>13</v>
      </c>
      <c r="C16" t="s">
        <v>233</v>
      </c>
      <c r="D16" t="s">
        <v>234</v>
      </c>
      <c r="E16" t="s">
        <v>1630</v>
      </c>
      <c r="F16" t="s">
        <v>1631</v>
      </c>
      <c r="G16" t="s">
        <v>1630</v>
      </c>
      <c r="H16" t="s">
        <v>1630</v>
      </c>
      <c r="I16" t="s">
        <v>1631</v>
      </c>
      <c r="J16" t="s">
        <v>1630</v>
      </c>
      <c r="K16" t="s">
        <v>1631</v>
      </c>
      <c r="L16" t="s">
        <v>1631</v>
      </c>
      <c r="M16" t="s">
        <v>1630</v>
      </c>
      <c r="N16" t="s">
        <v>1631</v>
      </c>
      <c r="Q16" t="s">
        <v>1630</v>
      </c>
      <c r="R16" t="s">
        <v>1630</v>
      </c>
      <c r="S16" t="s">
        <v>1630</v>
      </c>
      <c r="T16" t="s">
        <v>1630</v>
      </c>
      <c r="U16" t="s">
        <v>1630</v>
      </c>
      <c r="V16" t="s">
        <v>1630</v>
      </c>
      <c r="W16" t="s">
        <v>1631</v>
      </c>
      <c r="X16" t="s">
        <v>1630</v>
      </c>
    </row>
    <row r="17" spans="1:24" x14ac:dyDescent="0.2">
      <c r="A17" s="140"/>
      <c r="B17">
        <v>14</v>
      </c>
      <c r="C17" t="s">
        <v>242</v>
      </c>
      <c r="D17" t="s">
        <v>243</v>
      </c>
      <c r="E17" t="s">
        <v>1630</v>
      </c>
      <c r="F17" t="s">
        <v>1630</v>
      </c>
      <c r="G17" t="s">
        <v>1630</v>
      </c>
      <c r="H17" t="s">
        <v>1630</v>
      </c>
      <c r="I17" t="s">
        <v>1631</v>
      </c>
      <c r="J17" t="s">
        <v>1630</v>
      </c>
      <c r="K17" t="s">
        <v>1630</v>
      </c>
      <c r="L17" t="s">
        <v>1631</v>
      </c>
      <c r="M17" t="s">
        <v>1631</v>
      </c>
      <c r="N17" t="s">
        <v>1631</v>
      </c>
      <c r="Q17" t="s">
        <v>1630</v>
      </c>
      <c r="R17" t="s">
        <v>1630</v>
      </c>
      <c r="S17" t="s">
        <v>1630</v>
      </c>
      <c r="T17" t="s">
        <v>1630</v>
      </c>
      <c r="U17" t="s">
        <v>1630</v>
      </c>
      <c r="V17" t="s">
        <v>1630</v>
      </c>
      <c r="W17" t="s">
        <v>1630</v>
      </c>
      <c r="X17" t="s">
        <v>1631</v>
      </c>
    </row>
    <row r="18" spans="1:24" x14ac:dyDescent="0.2">
      <c r="A18" s="140"/>
      <c r="B18">
        <v>85</v>
      </c>
      <c r="C18" t="s">
        <v>257</v>
      </c>
      <c r="D18" t="s">
        <v>258</v>
      </c>
      <c r="E18" t="s">
        <v>1630</v>
      </c>
      <c r="F18" t="s">
        <v>1630</v>
      </c>
      <c r="G18" t="s">
        <v>1630</v>
      </c>
      <c r="H18" t="s">
        <v>1630</v>
      </c>
      <c r="I18" t="s">
        <v>1630</v>
      </c>
      <c r="J18" t="s">
        <v>1630</v>
      </c>
      <c r="K18" t="s">
        <v>1630</v>
      </c>
      <c r="L18" t="s">
        <v>1630</v>
      </c>
      <c r="M18" t="s">
        <v>1631</v>
      </c>
      <c r="O18" t="s">
        <v>1631</v>
      </c>
      <c r="Q18" t="s">
        <v>1630</v>
      </c>
      <c r="R18" t="s">
        <v>1630</v>
      </c>
      <c r="S18" t="s">
        <v>1630</v>
      </c>
      <c r="T18" t="s">
        <v>1630</v>
      </c>
      <c r="U18" t="s">
        <v>1630</v>
      </c>
      <c r="V18" t="s">
        <v>1630</v>
      </c>
      <c r="W18" t="s">
        <v>1630</v>
      </c>
      <c r="X18" t="s">
        <v>1631</v>
      </c>
    </row>
    <row r="19" spans="1:24" x14ac:dyDescent="0.2">
      <c r="A19" s="140"/>
      <c r="B19">
        <v>7</v>
      </c>
      <c r="C19" t="s">
        <v>265</v>
      </c>
      <c r="D19" t="s">
        <v>266</v>
      </c>
      <c r="E19" t="s">
        <v>1630</v>
      </c>
      <c r="F19" t="s">
        <v>1630</v>
      </c>
      <c r="G19" t="s">
        <v>1630</v>
      </c>
      <c r="H19" t="s">
        <v>1630</v>
      </c>
      <c r="I19" t="s">
        <v>1630</v>
      </c>
      <c r="J19" t="s">
        <v>1630</v>
      </c>
      <c r="K19" t="s">
        <v>1630</v>
      </c>
      <c r="L19" t="s">
        <v>1630</v>
      </c>
      <c r="M19" t="s">
        <v>1630</v>
      </c>
      <c r="N19" t="s">
        <v>1631</v>
      </c>
      <c r="Q19" t="s">
        <v>1630</v>
      </c>
      <c r="R19" t="s">
        <v>1630</v>
      </c>
      <c r="S19" t="s">
        <v>1630</v>
      </c>
      <c r="T19" t="s">
        <v>1631</v>
      </c>
      <c r="U19" t="s">
        <v>1630</v>
      </c>
      <c r="V19" t="s">
        <v>1631</v>
      </c>
      <c r="W19" t="s">
        <v>1630</v>
      </c>
      <c r="X19" t="s">
        <v>1630</v>
      </c>
    </row>
    <row r="20" spans="1:24" x14ac:dyDescent="0.2">
      <c r="A20" s="140"/>
      <c r="B20">
        <v>152</v>
      </c>
      <c r="C20" t="s">
        <v>275</v>
      </c>
      <c r="D20" t="s">
        <v>276</v>
      </c>
      <c r="E20" t="s">
        <v>1631</v>
      </c>
      <c r="F20" t="s">
        <v>1631</v>
      </c>
      <c r="G20" t="s">
        <v>1630</v>
      </c>
      <c r="H20" t="s">
        <v>1631</v>
      </c>
      <c r="I20" t="s">
        <v>1631</v>
      </c>
      <c r="J20" t="s">
        <v>1630</v>
      </c>
      <c r="K20" t="s">
        <v>1630</v>
      </c>
      <c r="L20" t="s">
        <v>1630</v>
      </c>
      <c r="M20" t="s">
        <v>1631</v>
      </c>
      <c r="P20" t="s">
        <v>1631</v>
      </c>
      <c r="Q20" t="s">
        <v>1630</v>
      </c>
      <c r="R20" t="s">
        <v>1630</v>
      </c>
      <c r="S20" t="s">
        <v>1630</v>
      </c>
      <c r="T20" t="s">
        <v>1630</v>
      </c>
      <c r="U20" t="s">
        <v>1630</v>
      </c>
      <c r="W20" t="s">
        <v>1630</v>
      </c>
      <c r="X20" t="s">
        <v>1631</v>
      </c>
    </row>
    <row r="21" spans="1:24" x14ac:dyDescent="0.2">
      <c r="A21" s="140"/>
      <c r="B21">
        <v>15</v>
      </c>
      <c r="C21" t="s">
        <v>287</v>
      </c>
      <c r="D21" t="s">
        <v>288</v>
      </c>
      <c r="E21" t="s">
        <v>1630</v>
      </c>
      <c r="F21" t="s">
        <v>1630</v>
      </c>
      <c r="G21" t="s">
        <v>1630</v>
      </c>
      <c r="H21" t="s">
        <v>1630</v>
      </c>
      <c r="I21" t="s">
        <v>1632</v>
      </c>
      <c r="J21" t="s">
        <v>1630</v>
      </c>
      <c r="K21" t="s">
        <v>1631</v>
      </c>
      <c r="L21" t="s">
        <v>1631</v>
      </c>
      <c r="M21" t="s">
        <v>1631</v>
      </c>
      <c r="P21" t="s">
        <v>1631</v>
      </c>
      <c r="Q21" t="s">
        <v>1631</v>
      </c>
      <c r="R21" t="s">
        <v>1630</v>
      </c>
      <c r="S21" t="s">
        <v>1630</v>
      </c>
      <c r="T21" t="s">
        <v>1630</v>
      </c>
      <c r="U21" t="s">
        <v>1631</v>
      </c>
      <c r="V21" t="s">
        <v>1631</v>
      </c>
      <c r="W21" t="s">
        <v>1630</v>
      </c>
      <c r="X21" t="s">
        <v>1631</v>
      </c>
    </row>
    <row r="22" spans="1:24" x14ac:dyDescent="0.2">
      <c r="A22" s="140"/>
      <c r="B22">
        <v>31</v>
      </c>
      <c r="C22" t="s">
        <v>307</v>
      </c>
      <c r="D22" t="s">
        <v>308</v>
      </c>
      <c r="E22" t="s">
        <v>1630</v>
      </c>
      <c r="F22" t="s">
        <v>1631</v>
      </c>
      <c r="G22" t="s">
        <v>1630</v>
      </c>
      <c r="H22" t="s">
        <v>1630</v>
      </c>
      <c r="I22" t="s">
        <v>1631</v>
      </c>
      <c r="J22" t="s">
        <v>1630</v>
      </c>
      <c r="K22" t="s">
        <v>1631</v>
      </c>
      <c r="L22" t="s">
        <v>1630</v>
      </c>
      <c r="M22" t="s">
        <v>1630</v>
      </c>
      <c r="O22" t="s">
        <v>1631</v>
      </c>
      <c r="P22" t="s">
        <v>1631</v>
      </c>
      <c r="Q22" t="s">
        <v>1630</v>
      </c>
      <c r="R22" t="s">
        <v>1630</v>
      </c>
      <c r="S22" t="s">
        <v>1630</v>
      </c>
      <c r="T22" t="s">
        <v>1631</v>
      </c>
      <c r="U22" t="s">
        <v>1630</v>
      </c>
      <c r="V22" t="s">
        <v>1631</v>
      </c>
      <c r="W22" t="s">
        <v>1630</v>
      </c>
      <c r="X22" t="s">
        <v>1630</v>
      </c>
    </row>
    <row r="23" spans="1:24" x14ac:dyDescent="0.2">
      <c r="A23" s="140"/>
      <c r="B23">
        <v>88</v>
      </c>
      <c r="C23" t="s">
        <v>315</v>
      </c>
      <c r="D23" t="s">
        <v>316</v>
      </c>
      <c r="E23" t="s">
        <v>1631</v>
      </c>
      <c r="F23" t="s">
        <v>1631</v>
      </c>
      <c r="G23" t="s">
        <v>1630</v>
      </c>
      <c r="H23" t="s">
        <v>1630</v>
      </c>
      <c r="I23" t="s">
        <v>1631</v>
      </c>
      <c r="J23" t="s">
        <v>1630</v>
      </c>
      <c r="K23" t="s">
        <v>1631</v>
      </c>
      <c r="L23" t="s">
        <v>1630</v>
      </c>
      <c r="M23" t="s">
        <v>1631</v>
      </c>
      <c r="O23" t="s">
        <v>1631</v>
      </c>
      <c r="Q23" t="s">
        <v>1630</v>
      </c>
      <c r="R23" t="s">
        <v>1630</v>
      </c>
      <c r="S23" t="s">
        <v>1630</v>
      </c>
      <c r="T23" t="s">
        <v>1630</v>
      </c>
      <c r="U23" t="s">
        <v>1630</v>
      </c>
      <c r="V23" t="s">
        <v>1630</v>
      </c>
      <c r="W23" t="s">
        <v>1631</v>
      </c>
      <c r="X23" t="s">
        <v>1630</v>
      </c>
    </row>
    <row r="24" spans="1:24" x14ac:dyDescent="0.2">
      <c r="A24" s="140"/>
      <c r="B24">
        <v>76</v>
      </c>
      <c r="C24" t="s">
        <v>325</v>
      </c>
      <c r="D24" t="s">
        <v>326</v>
      </c>
      <c r="E24" t="s">
        <v>1630</v>
      </c>
      <c r="F24" t="s">
        <v>1631</v>
      </c>
      <c r="G24" t="s">
        <v>1630</v>
      </c>
      <c r="H24" t="s">
        <v>1630</v>
      </c>
      <c r="I24" t="s">
        <v>1631</v>
      </c>
      <c r="J24" t="s">
        <v>1630</v>
      </c>
      <c r="K24" t="s">
        <v>1630</v>
      </c>
      <c r="L24" t="s">
        <v>1630</v>
      </c>
      <c r="M24" t="s">
        <v>1631</v>
      </c>
      <c r="O24" t="s">
        <v>1631</v>
      </c>
      <c r="Q24" t="s">
        <v>1630</v>
      </c>
      <c r="R24" t="s">
        <v>1630</v>
      </c>
      <c r="S24" t="s">
        <v>1630</v>
      </c>
      <c r="T24" t="s">
        <v>1630</v>
      </c>
      <c r="U24" t="s">
        <v>1630</v>
      </c>
      <c r="V24" t="s">
        <v>1631</v>
      </c>
      <c r="W24" t="s">
        <v>1630</v>
      </c>
      <c r="X24" t="s">
        <v>1630</v>
      </c>
    </row>
    <row r="25" spans="1:24" x14ac:dyDescent="0.2">
      <c r="A25" s="140"/>
      <c r="B25">
        <v>61</v>
      </c>
      <c r="C25" t="s">
        <v>333</v>
      </c>
      <c r="D25" t="s">
        <v>334</v>
      </c>
      <c r="E25" t="s">
        <v>1630</v>
      </c>
      <c r="F25" t="s">
        <v>1630</v>
      </c>
      <c r="G25" t="s">
        <v>1630</v>
      </c>
      <c r="H25" t="s">
        <v>1630</v>
      </c>
      <c r="I25" t="s">
        <v>1630</v>
      </c>
      <c r="J25" t="s">
        <v>1630</v>
      </c>
      <c r="K25" t="s">
        <v>1630</v>
      </c>
      <c r="L25" t="s">
        <v>1631</v>
      </c>
      <c r="M25" t="s">
        <v>1630</v>
      </c>
      <c r="Q25" t="s">
        <v>1630</v>
      </c>
      <c r="R25" t="s">
        <v>1630</v>
      </c>
      <c r="S25" t="s">
        <v>1630</v>
      </c>
      <c r="T25" t="s">
        <v>1630</v>
      </c>
      <c r="U25" t="s">
        <v>1630</v>
      </c>
      <c r="V25" t="s">
        <v>1630</v>
      </c>
      <c r="W25" t="s">
        <v>1630</v>
      </c>
      <c r="X25" t="s">
        <v>1631</v>
      </c>
    </row>
    <row r="26" spans="1:24" x14ac:dyDescent="0.2">
      <c r="A26" s="140"/>
      <c r="B26">
        <v>37</v>
      </c>
      <c r="C26" t="s">
        <v>341</v>
      </c>
      <c r="D26" t="s">
        <v>342</v>
      </c>
      <c r="E26" t="s">
        <v>1631</v>
      </c>
      <c r="F26" t="s">
        <v>1631</v>
      </c>
      <c r="G26" t="s">
        <v>1630</v>
      </c>
      <c r="H26" t="s">
        <v>1630</v>
      </c>
      <c r="I26" t="s">
        <v>1631</v>
      </c>
      <c r="J26" t="s">
        <v>1630</v>
      </c>
      <c r="K26" t="s">
        <v>1630</v>
      </c>
      <c r="L26" t="s">
        <v>1630</v>
      </c>
      <c r="M26" t="s">
        <v>1631</v>
      </c>
      <c r="P26" t="s">
        <v>1631</v>
      </c>
      <c r="Q26" t="s">
        <v>1630</v>
      </c>
      <c r="R26" t="s">
        <v>1630</v>
      </c>
      <c r="S26" t="s">
        <v>1630</v>
      </c>
      <c r="T26" t="s">
        <v>1630</v>
      </c>
      <c r="U26" t="s">
        <v>1631</v>
      </c>
      <c r="V26" t="s">
        <v>1630</v>
      </c>
      <c r="W26" t="s">
        <v>1631</v>
      </c>
      <c r="X26" t="s">
        <v>1630</v>
      </c>
    </row>
    <row r="27" spans="1:24" x14ac:dyDescent="0.2">
      <c r="A27" s="140"/>
      <c r="B27">
        <v>79</v>
      </c>
      <c r="C27" t="s">
        <v>353</v>
      </c>
      <c r="D27" t="s">
        <v>354</v>
      </c>
      <c r="E27" t="s">
        <v>1630</v>
      </c>
      <c r="F27" t="s">
        <v>1630</v>
      </c>
      <c r="G27" t="s">
        <v>1630</v>
      </c>
      <c r="H27" t="s">
        <v>1632</v>
      </c>
      <c r="I27" t="s">
        <v>1631</v>
      </c>
      <c r="J27" t="s">
        <v>1630</v>
      </c>
      <c r="K27" t="s">
        <v>1631</v>
      </c>
      <c r="L27" t="s">
        <v>1631</v>
      </c>
      <c r="M27" t="s">
        <v>1630</v>
      </c>
      <c r="N27" t="s">
        <v>1631</v>
      </c>
      <c r="Q27" t="s">
        <v>1630</v>
      </c>
      <c r="R27" t="s">
        <v>1630</v>
      </c>
      <c r="S27" t="s">
        <v>1630</v>
      </c>
      <c r="T27" t="s">
        <v>1630</v>
      </c>
      <c r="U27" t="s">
        <v>1630</v>
      </c>
      <c r="V27" t="s">
        <v>1631</v>
      </c>
      <c r="W27" t="s">
        <v>1630</v>
      </c>
      <c r="X27" t="s">
        <v>1630</v>
      </c>
    </row>
    <row r="28" spans="1:24" x14ac:dyDescent="0.2">
      <c r="A28" s="140"/>
      <c r="B28">
        <v>105</v>
      </c>
      <c r="C28" t="s">
        <v>362</v>
      </c>
      <c r="D28" t="s">
        <v>363</v>
      </c>
      <c r="E28" t="s">
        <v>1630</v>
      </c>
      <c r="F28" t="s">
        <v>1631</v>
      </c>
      <c r="G28" t="s">
        <v>1630</v>
      </c>
      <c r="H28" t="s">
        <v>1630</v>
      </c>
      <c r="I28" t="s">
        <v>1631</v>
      </c>
      <c r="J28" t="s">
        <v>1630</v>
      </c>
      <c r="K28" t="s">
        <v>1630</v>
      </c>
      <c r="L28" t="s">
        <v>1631</v>
      </c>
      <c r="M28" t="s">
        <v>1631</v>
      </c>
      <c r="N28" t="s">
        <v>1631</v>
      </c>
      <c r="Q28" t="s">
        <v>1630</v>
      </c>
      <c r="R28" t="s">
        <v>1630</v>
      </c>
      <c r="S28" t="s">
        <v>1630</v>
      </c>
      <c r="T28" t="s">
        <v>1630</v>
      </c>
      <c r="U28" t="s">
        <v>1630</v>
      </c>
      <c r="V28" t="s">
        <v>1631</v>
      </c>
      <c r="W28" t="s">
        <v>1630</v>
      </c>
      <c r="X28" t="s">
        <v>1630</v>
      </c>
    </row>
    <row r="29" spans="1:24" x14ac:dyDescent="0.2">
      <c r="A29" s="140"/>
      <c r="B29">
        <v>43</v>
      </c>
      <c r="C29" t="s">
        <v>370</v>
      </c>
      <c r="D29" t="s">
        <v>371</v>
      </c>
      <c r="E29" t="s">
        <v>1630</v>
      </c>
      <c r="F29" t="s">
        <v>1630</v>
      </c>
      <c r="G29" t="s">
        <v>1630</v>
      </c>
      <c r="H29" t="s">
        <v>1630</v>
      </c>
      <c r="I29" t="s">
        <v>1631</v>
      </c>
      <c r="J29" t="s">
        <v>1630</v>
      </c>
      <c r="K29" t="s">
        <v>1630</v>
      </c>
      <c r="L29" t="s">
        <v>1630</v>
      </c>
      <c r="M29" t="s">
        <v>1631</v>
      </c>
      <c r="P29" t="s">
        <v>1631</v>
      </c>
      <c r="Q29" t="s">
        <v>1630</v>
      </c>
      <c r="R29" t="s">
        <v>1630</v>
      </c>
      <c r="S29" t="s">
        <v>1630</v>
      </c>
      <c r="T29" t="s">
        <v>1630</v>
      </c>
      <c r="U29" t="s">
        <v>1630</v>
      </c>
      <c r="V29" t="s">
        <v>1630</v>
      </c>
      <c r="W29" t="s">
        <v>1630</v>
      </c>
      <c r="X29" t="s">
        <v>1631</v>
      </c>
    </row>
    <row r="30" spans="1:24" x14ac:dyDescent="0.2">
      <c r="A30" s="140"/>
      <c r="B30">
        <v>58</v>
      </c>
      <c r="C30" t="s">
        <v>378</v>
      </c>
      <c r="D30" t="s">
        <v>379</v>
      </c>
      <c r="E30" t="s">
        <v>1630</v>
      </c>
      <c r="F30" t="s">
        <v>1631</v>
      </c>
      <c r="G30" t="s">
        <v>1630</v>
      </c>
      <c r="H30" t="s">
        <v>1632</v>
      </c>
      <c r="I30" t="s">
        <v>1630</v>
      </c>
      <c r="J30" t="s">
        <v>1630</v>
      </c>
      <c r="K30" t="s">
        <v>1630</v>
      </c>
      <c r="L30" t="s">
        <v>1631</v>
      </c>
      <c r="M30" t="s">
        <v>1630</v>
      </c>
      <c r="Q30" t="s">
        <v>1630</v>
      </c>
      <c r="R30" t="s">
        <v>1630</v>
      </c>
      <c r="S30" t="s">
        <v>1630</v>
      </c>
      <c r="T30" t="s">
        <v>1630</v>
      </c>
      <c r="U30" t="s">
        <v>1630</v>
      </c>
      <c r="V30" t="s">
        <v>1631</v>
      </c>
      <c r="W30" t="s">
        <v>1630</v>
      </c>
      <c r="X30" t="s">
        <v>1630</v>
      </c>
    </row>
    <row r="31" spans="1:24" x14ac:dyDescent="0.2">
      <c r="A31" s="140"/>
      <c r="B31">
        <v>62</v>
      </c>
      <c r="C31" t="s">
        <v>388</v>
      </c>
      <c r="D31" t="s">
        <v>389</v>
      </c>
      <c r="E31" t="s">
        <v>1630</v>
      </c>
      <c r="F31" t="s">
        <v>1631</v>
      </c>
      <c r="G31" t="s">
        <v>1630</v>
      </c>
      <c r="H31" t="s">
        <v>1630</v>
      </c>
      <c r="I31" t="s">
        <v>1630</v>
      </c>
      <c r="J31" t="s">
        <v>1630</v>
      </c>
      <c r="K31" t="s">
        <v>1630</v>
      </c>
      <c r="L31" t="s">
        <v>1631</v>
      </c>
      <c r="M31" t="s">
        <v>1631</v>
      </c>
      <c r="P31" t="s">
        <v>1631</v>
      </c>
      <c r="Q31" t="s">
        <v>1631</v>
      </c>
      <c r="R31" t="s">
        <v>1630</v>
      </c>
      <c r="S31" t="s">
        <v>1630</v>
      </c>
      <c r="T31" t="s">
        <v>1630</v>
      </c>
      <c r="U31" t="s">
        <v>1630</v>
      </c>
      <c r="V31" t="s">
        <v>1631</v>
      </c>
      <c r="W31" t="s">
        <v>1630</v>
      </c>
      <c r="X31" t="s">
        <v>1630</v>
      </c>
    </row>
    <row r="32" spans="1:24" x14ac:dyDescent="0.2">
      <c r="A32" s="140"/>
      <c r="B32">
        <v>115</v>
      </c>
      <c r="C32" t="s">
        <v>396</v>
      </c>
      <c r="D32" t="s">
        <v>397</v>
      </c>
      <c r="E32" t="s">
        <v>1630</v>
      </c>
      <c r="F32" t="s">
        <v>1630</v>
      </c>
      <c r="G32" t="s">
        <v>1630</v>
      </c>
      <c r="H32" t="s">
        <v>1630</v>
      </c>
      <c r="I32" t="s">
        <v>1631</v>
      </c>
      <c r="J32" t="s">
        <v>1630</v>
      </c>
      <c r="K32" t="s">
        <v>1631</v>
      </c>
      <c r="L32" t="s">
        <v>1630</v>
      </c>
      <c r="M32" t="s">
        <v>1630</v>
      </c>
      <c r="P32" t="s">
        <v>1631</v>
      </c>
      <c r="Q32" t="s">
        <v>1630</v>
      </c>
      <c r="R32" t="s">
        <v>1630</v>
      </c>
      <c r="S32" t="s">
        <v>1630</v>
      </c>
      <c r="T32" t="s">
        <v>1630</v>
      </c>
      <c r="U32" t="s">
        <v>1630</v>
      </c>
      <c r="V32" t="s">
        <v>1631</v>
      </c>
      <c r="W32" t="s">
        <v>1630</v>
      </c>
      <c r="X32" t="s">
        <v>1630</v>
      </c>
    </row>
    <row r="33" spans="1:24" x14ac:dyDescent="0.2">
      <c r="A33" s="140"/>
      <c r="B33">
        <v>112</v>
      </c>
      <c r="C33" t="s">
        <v>404</v>
      </c>
      <c r="D33" t="s">
        <v>405</v>
      </c>
      <c r="E33" t="s">
        <v>1630</v>
      </c>
      <c r="F33" t="s">
        <v>1630</v>
      </c>
      <c r="G33" t="s">
        <v>1630</v>
      </c>
      <c r="H33" t="s">
        <v>1630</v>
      </c>
      <c r="I33" t="s">
        <v>1630</v>
      </c>
      <c r="J33" t="s">
        <v>1630</v>
      </c>
      <c r="K33" t="s">
        <v>1630</v>
      </c>
      <c r="L33" t="s">
        <v>1631</v>
      </c>
      <c r="M33" t="s">
        <v>1631</v>
      </c>
      <c r="N33" t="s">
        <v>1631</v>
      </c>
      <c r="Q33" t="s">
        <v>1630</v>
      </c>
      <c r="R33" t="s">
        <v>1630</v>
      </c>
      <c r="S33" t="s">
        <v>1630</v>
      </c>
      <c r="T33" t="s">
        <v>1630</v>
      </c>
      <c r="U33" t="s">
        <v>1630</v>
      </c>
      <c r="V33" t="s">
        <v>1630</v>
      </c>
      <c r="W33" t="s">
        <v>1631</v>
      </c>
      <c r="X33" t="s">
        <v>1630</v>
      </c>
    </row>
    <row r="34" spans="1:24" x14ac:dyDescent="0.2">
      <c r="A34" s="140"/>
      <c r="B34">
        <v>103</v>
      </c>
      <c r="C34" t="s">
        <v>414</v>
      </c>
      <c r="D34" t="s">
        <v>415</v>
      </c>
      <c r="E34" t="s">
        <v>1630</v>
      </c>
      <c r="F34" t="s">
        <v>1630</v>
      </c>
      <c r="G34" t="s">
        <v>1630</v>
      </c>
      <c r="H34" t="s">
        <v>1630</v>
      </c>
      <c r="I34" t="s">
        <v>1630</v>
      </c>
      <c r="J34" t="s">
        <v>1630</v>
      </c>
      <c r="K34" t="s">
        <v>1631</v>
      </c>
      <c r="L34" t="s">
        <v>1630</v>
      </c>
      <c r="M34" t="s">
        <v>1630</v>
      </c>
      <c r="N34" t="s">
        <v>1631</v>
      </c>
      <c r="Q34" t="s">
        <v>1630</v>
      </c>
      <c r="R34" t="s">
        <v>1631</v>
      </c>
      <c r="S34" t="s">
        <v>1630</v>
      </c>
      <c r="T34" t="s">
        <v>1630</v>
      </c>
      <c r="U34" t="s">
        <v>1630</v>
      </c>
      <c r="V34" t="s">
        <v>1630</v>
      </c>
      <c r="W34" t="s">
        <v>1630</v>
      </c>
      <c r="X34" t="s">
        <v>1631</v>
      </c>
    </row>
    <row r="35" spans="1:24" x14ac:dyDescent="0.2">
      <c r="A35" s="140"/>
      <c r="B35">
        <v>142</v>
      </c>
      <c r="C35" t="s">
        <v>424</v>
      </c>
      <c r="D35" t="s">
        <v>425</v>
      </c>
      <c r="E35" t="s">
        <v>1630</v>
      </c>
      <c r="F35" t="s">
        <v>1631</v>
      </c>
      <c r="G35" t="s">
        <v>1630</v>
      </c>
      <c r="H35" t="s">
        <v>1630</v>
      </c>
      <c r="I35" t="s">
        <v>1631</v>
      </c>
      <c r="J35" t="s">
        <v>1630</v>
      </c>
      <c r="K35" t="s">
        <v>1630</v>
      </c>
      <c r="L35" t="s">
        <v>1631</v>
      </c>
      <c r="M35" t="s">
        <v>1630</v>
      </c>
      <c r="N35" t="s">
        <v>1631</v>
      </c>
      <c r="Q35" t="s">
        <v>1630</v>
      </c>
      <c r="R35" t="s">
        <v>1630</v>
      </c>
      <c r="S35" t="s">
        <v>1630</v>
      </c>
      <c r="T35" t="s">
        <v>1630</v>
      </c>
      <c r="U35" t="s">
        <v>1630</v>
      </c>
      <c r="W35" t="s">
        <v>1631</v>
      </c>
      <c r="X35" t="s">
        <v>1630</v>
      </c>
    </row>
    <row r="36" spans="1:24" x14ac:dyDescent="0.2">
      <c r="A36" s="140"/>
      <c r="B36">
        <v>98</v>
      </c>
      <c r="C36" t="s">
        <v>437</v>
      </c>
      <c r="D36" t="s">
        <v>438</v>
      </c>
      <c r="E36" t="s">
        <v>1630</v>
      </c>
      <c r="F36" t="s">
        <v>1630</v>
      </c>
      <c r="G36" t="s">
        <v>1630</v>
      </c>
      <c r="H36" t="s">
        <v>1630</v>
      </c>
      <c r="I36" t="s">
        <v>1631</v>
      </c>
      <c r="J36" t="s">
        <v>1630</v>
      </c>
      <c r="K36" t="s">
        <v>1630</v>
      </c>
      <c r="L36" t="s">
        <v>1630</v>
      </c>
      <c r="M36" t="s">
        <v>1630</v>
      </c>
      <c r="N36" t="s">
        <v>1631</v>
      </c>
      <c r="Q36" t="s">
        <v>1630</v>
      </c>
      <c r="R36" t="s">
        <v>1630</v>
      </c>
      <c r="S36" t="s">
        <v>1630</v>
      </c>
      <c r="T36" t="s">
        <v>1631</v>
      </c>
      <c r="U36" t="s">
        <v>1630</v>
      </c>
      <c r="V36" t="s">
        <v>1631</v>
      </c>
      <c r="W36" t="s">
        <v>1630</v>
      </c>
      <c r="X36" t="s">
        <v>1630</v>
      </c>
    </row>
    <row r="37" spans="1:24" x14ac:dyDescent="0.2">
      <c r="A37" s="140"/>
      <c r="B37">
        <v>102</v>
      </c>
      <c r="C37" t="s">
        <v>445</v>
      </c>
      <c r="D37" t="s">
        <v>446</v>
      </c>
      <c r="E37" t="s">
        <v>1630</v>
      </c>
      <c r="F37" t="s">
        <v>1630</v>
      </c>
      <c r="G37" t="s">
        <v>1630</v>
      </c>
      <c r="H37" t="s">
        <v>1630</v>
      </c>
      <c r="I37" t="s">
        <v>1631</v>
      </c>
      <c r="J37" t="s">
        <v>1630</v>
      </c>
      <c r="K37" t="s">
        <v>1631</v>
      </c>
      <c r="L37" t="s">
        <v>1631</v>
      </c>
      <c r="M37" t="s">
        <v>1631</v>
      </c>
      <c r="Q37" t="s">
        <v>1631</v>
      </c>
      <c r="R37" t="s">
        <v>1630</v>
      </c>
      <c r="S37" t="s">
        <v>1630</v>
      </c>
      <c r="T37" t="s">
        <v>1630</v>
      </c>
      <c r="U37" t="s">
        <v>1630</v>
      </c>
      <c r="V37" t="s">
        <v>1631</v>
      </c>
      <c r="W37" t="s">
        <v>1630</v>
      </c>
      <c r="X37" t="s">
        <v>1630</v>
      </c>
    </row>
    <row r="38" spans="1:24" x14ac:dyDescent="0.2">
      <c r="A38" s="140"/>
      <c r="B38">
        <v>51</v>
      </c>
      <c r="C38" t="s">
        <v>456</v>
      </c>
      <c r="D38" t="s">
        <v>457</v>
      </c>
      <c r="E38" t="s">
        <v>1631</v>
      </c>
      <c r="F38" t="s">
        <v>1631</v>
      </c>
      <c r="G38" t="s">
        <v>1631</v>
      </c>
      <c r="H38" t="s">
        <v>1631</v>
      </c>
      <c r="I38" t="s">
        <v>1631</v>
      </c>
      <c r="J38" t="s">
        <v>1630</v>
      </c>
      <c r="K38" t="s">
        <v>1631</v>
      </c>
      <c r="L38" t="s">
        <v>1631</v>
      </c>
      <c r="M38" t="s">
        <v>1631</v>
      </c>
      <c r="N38" t="s">
        <v>1631</v>
      </c>
      <c r="Q38" t="s">
        <v>1630</v>
      </c>
      <c r="R38" t="s">
        <v>1630</v>
      </c>
      <c r="S38" t="s">
        <v>1630</v>
      </c>
      <c r="T38" t="s">
        <v>1630</v>
      </c>
      <c r="U38" t="s">
        <v>1630</v>
      </c>
      <c r="V38" t="s">
        <v>1630</v>
      </c>
      <c r="W38" t="s">
        <v>1631</v>
      </c>
      <c r="X38" t="s">
        <v>1631</v>
      </c>
    </row>
    <row r="39" spans="1:24" x14ac:dyDescent="0.2">
      <c r="A39" s="140"/>
      <c r="B39">
        <v>150</v>
      </c>
      <c r="C39" t="s">
        <v>469</v>
      </c>
      <c r="D39" t="s">
        <v>470</v>
      </c>
      <c r="E39" t="s">
        <v>1630</v>
      </c>
      <c r="F39" t="s">
        <v>1631</v>
      </c>
      <c r="G39" t="s">
        <v>1630</v>
      </c>
      <c r="H39" t="s">
        <v>1630</v>
      </c>
      <c r="I39" t="s">
        <v>1631</v>
      </c>
      <c r="J39" t="s">
        <v>1630</v>
      </c>
      <c r="K39" t="s">
        <v>1631</v>
      </c>
      <c r="L39" t="s">
        <v>1631</v>
      </c>
      <c r="M39" t="s">
        <v>1632</v>
      </c>
      <c r="Q39" t="s">
        <v>1630</v>
      </c>
      <c r="R39" t="s">
        <v>1630</v>
      </c>
      <c r="S39" t="s">
        <v>1630</v>
      </c>
      <c r="T39" t="s">
        <v>1630</v>
      </c>
      <c r="U39" t="s">
        <v>1630</v>
      </c>
      <c r="V39" t="s">
        <v>1630</v>
      </c>
      <c r="W39" t="s">
        <v>1630</v>
      </c>
      <c r="X39" t="s">
        <v>1631</v>
      </c>
    </row>
    <row r="40" spans="1:24" x14ac:dyDescent="0.2">
      <c r="A40" s="140"/>
      <c r="B40">
        <v>97</v>
      </c>
      <c r="C40" t="s">
        <v>484</v>
      </c>
      <c r="D40" t="s">
        <v>485</v>
      </c>
      <c r="E40" t="s">
        <v>1630</v>
      </c>
      <c r="F40" t="s">
        <v>1630</v>
      </c>
      <c r="G40" t="s">
        <v>1630</v>
      </c>
      <c r="H40" t="s">
        <v>1630</v>
      </c>
      <c r="I40" t="s">
        <v>1631</v>
      </c>
      <c r="J40" t="s">
        <v>1630</v>
      </c>
      <c r="K40" t="s">
        <v>1631</v>
      </c>
      <c r="L40" t="s">
        <v>1630</v>
      </c>
      <c r="M40" t="s">
        <v>1631</v>
      </c>
      <c r="N40" t="s">
        <v>1631</v>
      </c>
      <c r="Q40" t="s">
        <v>1631</v>
      </c>
      <c r="R40" t="s">
        <v>1630</v>
      </c>
      <c r="S40" t="s">
        <v>1630</v>
      </c>
      <c r="T40" t="s">
        <v>1630</v>
      </c>
      <c r="U40" t="s">
        <v>1630</v>
      </c>
      <c r="V40" t="s">
        <v>1631</v>
      </c>
      <c r="W40" t="s">
        <v>1630</v>
      </c>
      <c r="X40" t="s">
        <v>1630</v>
      </c>
    </row>
    <row r="41" spans="1:24" x14ac:dyDescent="0.2">
      <c r="A41" s="140"/>
      <c r="B41">
        <v>130</v>
      </c>
      <c r="C41" t="s">
        <v>493</v>
      </c>
      <c r="D41" t="s">
        <v>494</v>
      </c>
      <c r="E41" t="s">
        <v>1630</v>
      </c>
      <c r="F41" t="s">
        <v>1631</v>
      </c>
      <c r="G41" t="s">
        <v>1630</v>
      </c>
      <c r="H41" t="s">
        <v>1631</v>
      </c>
      <c r="I41" t="s">
        <v>1631</v>
      </c>
      <c r="J41" t="s">
        <v>1630</v>
      </c>
      <c r="K41" t="s">
        <v>1630</v>
      </c>
      <c r="L41" t="s">
        <v>1630</v>
      </c>
      <c r="M41" t="s">
        <v>1631</v>
      </c>
      <c r="N41" t="s">
        <v>1631</v>
      </c>
      <c r="Q41" t="s">
        <v>1630</v>
      </c>
      <c r="R41" t="s">
        <v>1630</v>
      </c>
      <c r="S41" t="s">
        <v>1630</v>
      </c>
      <c r="T41" t="s">
        <v>1631</v>
      </c>
      <c r="U41" t="s">
        <v>1630</v>
      </c>
      <c r="V41" t="s">
        <v>1631</v>
      </c>
      <c r="W41" t="s">
        <v>1630</v>
      </c>
      <c r="X41" t="s">
        <v>1630</v>
      </c>
    </row>
    <row r="42" spans="1:24" x14ac:dyDescent="0.2">
      <c r="A42" s="140"/>
      <c r="B42">
        <v>41</v>
      </c>
      <c r="C42" t="s">
        <v>505</v>
      </c>
      <c r="D42" t="s">
        <v>506</v>
      </c>
      <c r="E42" t="s">
        <v>1630</v>
      </c>
      <c r="F42" t="s">
        <v>1631</v>
      </c>
      <c r="G42" t="s">
        <v>1630</v>
      </c>
      <c r="H42" t="s">
        <v>1630</v>
      </c>
      <c r="I42" t="s">
        <v>1631</v>
      </c>
      <c r="J42" t="s">
        <v>1630</v>
      </c>
      <c r="K42" t="s">
        <v>1631</v>
      </c>
      <c r="L42" t="s">
        <v>1631</v>
      </c>
      <c r="M42" t="s">
        <v>1631</v>
      </c>
      <c r="O42" t="s">
        <v>1631</v>
      </c>
      <c r="Q42" t="s">
        <v>1630</v>
      </c>
      <c r="R42" t="s">
        <v>1630</v>
      </c>
      <c r="S42" t="s">
        <v>1630</v>
      </c>
      <c r="T42" t="s">
        <v>1631</v>
      </c>
      <c r="U42" t="s">
        <v>1630</v>
      </c>
      <c r="V42" t="s">
        <v>1631</v>
      </c>
      <c r="W42" t="s">
        <v>1630</v>
      </c>
      <c r="X42" t="s">
        <v>1630</v>
      </c>
    </row>
    <row r="43" spans="1:24" x14ac:dyDescent="0.2">
      <c r="A43" s="140"/>
      <c r="B43">
        <v>63</v>
      </c>
      <c r="C43" t="s">
        <v>516</v>
      </c>
      <c r="D43" t="s">
        <v>517</v>
      </c>
      <c r="E43" t="s">
        <v>1630</v>
      </c>
      <c r="F43" t="s">
        <v>1630</v>
      </c>
      <c r="G43" t="s">
        <v>1630</v>
      </c>
      <c r="H43" t="s">
        <v>1630</v>
      </c>
      <c r="I43" t="s">
        <v>1630</v>
      </c>
      <c r="J43" t="s">
        <v>1630</v>
      </c>
      <c r="K43" t="s">
        <v>1630</v>
      </c>
      <c r="L43" t="s">
        <v>1631</v>
      </c>
      <c r="M43" t="s">
        <v>1631</v>
      </c>
      <c r="O43" t="s">
        <v>1631</v>
      </c>
      <c r="Q43" t="s">
        <v>1631</v>
      </c>
      <c r="R43" t="s">
        <v>1630</v>
      </c>
      <c r="S43" t="s">
        <v>1630</v>
      </c>
      <c r="T43" t="s">
        <v>1630</v>
      </c>
      <c r="U43" t="s">
        <v>1630</v>
      </c>
      <c r="V43" t="s">
        <v>1631</v>
      </c>
      <c r="W43" t="s">
        <v>1630</v>
      </c>
      <c r="X43" t="s">
        <v>1630</v>
      </c>
    </row>
    <row r="44" spans="1:24" x14ac:dyDescent="0.2">
      <c r="A44" s="140"/>
      <c r="B44">
        <v>78</v>
      </c>
      <c r="C44" t="s">
        <v>526</v>
      </c>
      <c r="D44" t="s">
        <v>527</v>
      </c>
      <c r="E44" t="s">
        <v>1630</v>
      </c>
      <c r="F44" t="s">
        <v>1630</v>
      </c>
      <c r="G44" t="s">
        <v>1630</v>
      </c>
      <c r="H44" t="s">
        <v>1630</v>
      </c>
      <c r="I44" t="s">
        <v>1630</v>
      </c>
      <c r="J44" t="s">
        <v>1630</v>
      </c>
      <c r="K44" t="s">
        <v>1630</v>
      </c>
      <c r="L44" t="s">
        <v>1631</v>
      </c>
      <c r="M44" t="s">
        <v>1631</v>
      </c>
      <c r="N44" t="s">
        <v>1631</v>
      </c>
      <c r="Q44" t="s">
        <v>1630</v>
      </c>
      <c r="R44" t="s">
        <v>1630</v>
      </c>
      <c r="S44" t="s">
        <v>1630</v>
      </c>
      <c r="T44" t="s">
        <v>1630</v>
      </c>
      <c r="U44" t="s">
        <v>1630</v>
      </c>
      <c r="V44" t="s">
        <v>1630</v>
      </c>
      <c r="W44" t="s">
        <v>1631</v>
      </c>
      <c r="X44" t="s">
        <v>1630</v>
      </c>
    </row>
    <row r="45" spans="1:24" x14ac:dyDescent="0.2">
      <c r="A45" s="140"/>
      <c r="B45">
        <v>47</v>
      </c>
      <c r="C45" t="s">
        <v>536</v>
      </c>
      <c r="D45" t="s">
        <v>537</v>
      </c>
      <c r="E45" t="s">
        <v>1630</v>
      </c>
      <c r="F45" t="s">
        <v>1631</v>
      </c>
      <c r="G45" t="s">
        <v>1630</v>
      </c>
      <c r="H45" t="s">
        <v>1630</v>
      </c>
      <c r="I45" t="s">
        <v>1630</v>
      </c>
      <c r="J45" t="s">
        <v>1630</v>
      </c>
      <c r="K45" t="s">
        <v>1630</v>
      </c>
      <c r="L45" t="s">
        <v>1631</v>
      </c>
      <c r="M45" t="s">
        <v>1630</v>
      </c>
      <c r="P45" t="s">
        <v>1631</v>
      </c>
      <c r="Q45" t="s">
        <v>1630</v>
      </c>
      <c r="R45" t="s">
        <v>1630</v>
      </c>
      <c r="S45" t="s">
        <v>1630</v>
      </c>
      <c r="T45" t="s">
        <v>1631</v>
      </c>
      <c r="U45" t="s">
        <v>1630</v>
      </c>
      <c r="V45" t="s">
        <v>1630</v>
      </c>
      <c r="W45" t="s">
        <v>1630</v>
      </c>
      <c r="X45" t="s">
        <v>1631</v>
      </c>
    </row>
    <row r="46" spans="1:24" x14ac:dyDescent="0.2">
      <c r="A46" s="140"/>
      <c r="B46">
        <v>54</v>
      </c>
      <c r="C46" t="s">
        <v>548</v>
      </c>
      <c r="D46" t="s">
        <v>549</v>
      </c>
      <c r="E46" t="s">
        <v>1630</v>
      </c>
      <c r="F46" t="s">
        <v>1630</v>
      </c>
      <c r="G46" t="s">
        <v>1630</v>
      </c>
      <c r="H46" t="s">
        <v>1630</v>
      </c>
      <c r="I46" t="s">
        <v>1631</v>
      </c>
      <c r="J46" t="s">
        <v>1630</v>
      </c>
      <c r="K46" t="s">
        <v>1630</v>
      </c>
      <c r="L46" t="s">
        <v>1630</v>
      </c>
      <c r="M46" t="s">
        <v>1631</v>
      </c>
      <c r="O46" t="s">
        <v>1631</v>
      </c>
      <c r="Q46" t="s">
        <v>1630</v>
      </c>
      <c r="R46" t="s">
        <v>1630</v>
      </c>
      <c r="S46" t="s">
        <v>1630</v>
      </c>
      <c r="T46" t="s">
        <v>1631</v>
      </c>
      <c r="U46" t="s">
        <v>1630</v>
      </c>
      <c r="V46" t="s">
        <v>1631</v>
      </c>
      <c r="W46" t="s">
        <v>1630</v>
      </c>
      <c r="X46" t="s">
        <v>1630</v>
      </c>
    </row>
    <row r="47" spans="1:24" x14ac:dyDescent="0.2">
      <c r="A47" s="140"/>
      <c r="B47">
        <v>124</v>
      </c>
      <c r="C47" t="s">
        <v>558</v>
      </c>
      <c r="D47" t="s">
        <v>559</v>
      </c>
      <c r="E47" t="s">
        <v>1631</v>
      </c>
      <c r="F47" t="s">
        <v>1631</v>
      </c>
      <c r="G47" t="s">
        <v>1630</v>
      </c>
      <c r="H47" t="s">
        <v>1630</v>
      </c>
      <c r="I47" t="s">
        <v>1631</v>
      </c>
      <c r="J47" t="s">
        <v>1630</v>
      </c>
      <c r="K47" t="s">
        <v>1631</v>
      </c>
      <c r="L47" t="s">
        <v>1630</v>
      </c>
      <c r="M47" t="s">
        <v>1631</v>
      </c>
      <c r="P47" t="s">
        <v>1631</v>
      </c>
      <c r="Q47" t="s">
        <v>1630</v>
      </c>
      <c r="R47" t="s">
        <v>1630</v>
      </c>
      <c r="S47" t="s">
        <v>1630</v>
      </c>
      <c r="T47" t="s">
        <v>1631</v>
      </c>
      <c r="U47" t="s">
        <v>1630</v>
      </c>
      <c r="V47" t="s">
        <v>1631</v>
      </c>
      <c r="W47" t="s">
        <v>1630</v>
      </c>
      <c r="X47" t="s">
        <v>1630</v>
      </c>
    </row>
    <row r="48" spans="1:24" x14ac:dyDescent="0.2">
      <c r="A48" s="140"/>
      <c r="B48">
        <v>77</v>
      </c>
      <c r="C48" t="s">
        <v>567</v>
      </c>
      <c r="D48" t="s">
        <v>549</v>
      </c>
      <c r="E48" t="s">
        <v>1630</v>
      </c>
      <c r="F48" t="s">
        <v>1630</v>
      </c>
      <c r="G48" t="s">
        <v>1630</v>
      </c>
      <c r="H48" t="s">
        <v>1630</v>
      </c>
      <c r="I48" t="s">
        <v>1631</v>
      </c>
      <c r="J48" t="s">
        <v>1630</v>
      </c>
      <c r="K48" t="s">
        <v>1630</v>
      </c>
      <c r="L48" t="s">
        <v>1630</v>
      </c>
      <c r="M48" t="s">
        <v>1631</v>
      </c>
      <c r="O48" t="s">
        <v>1631</v>
      </c>
      <c r="Q48" t="s">
        <v>1630</v>
      </c>
      <c r="R48" t="s">
        <v>1630</v>
      </c>
      <c r="S48" t="s">
        <v>1630</v>
      </c>
      <c r="T48" t="s">
        <v>1631</v>
      </c>
      <c r="U48" t="s">
        <v>1630</v>
      </c>
      <c r="V48" t="s">
        <v>1630</v>
      </c>
      <c r="W48" t="s">
        <v>1631</v>
      </c>
      <c r="X48" t="s">
        <v>1630</v>
      </c>
    </row>
    <row r="49" spans="1:24" x14ac:dyDescent="0.2">
      <c r="A49" s="140"/>
      <c r="B49">
        <v>107</v>
      </c>
      <c r="C49" t="s">
        <v>573</v>
      </c>
      <c r="D49" t="s">
        <v>549</v>
      </c>
      <c r="E49" t="s">
        <v>1630</v>
      </c>
      <c r="F49" t="s">
        <v>1630</v>
      </c>
      <c r="G49" t="s">
        <v>1630</v>
      </c>
      <c r="H49" t="s">
        <v>1630</v>
      </c>
      <c r="I49" t="s">
        <v>1631</v>
      </c>
      <c r="J49" t="s">
        <v>1630</v>
      </c>
      <c r="K49" t="s">
        <v>1630</v>
      </c>
      <c r="L49" t="s">
        <v>1631</v>
      </c>
      <c r="M49" t="s">
        <v>1631</v>
      </c>
      <c r="Q49" t="s">
        <v>1630</v>
      </c>
      <c r="R49" t="s">
        <v>1630</v>
      </c>
      <c r="S49" t="s">
        <v>1630</v>
      </c>
      <c r="T49" t="s">
        <v>1631</v>
      </c>
      <c r="U49" t="s">
        <v>1630</v>
      </c>
      <c r="V49" t="s">
        <v>1631</v>
      </c>
      <c r="W49" t="s">
        <v>1630</v>
      </c>
      <c r="X49" t="s">
        <v>1630</v>
      </c>
    </row>
    <row r="50" spans="1:24" x14ac:dyDescent="0.2">
      <c r="A50" s="140"/>
      <c r="B50">
        <v>104</v>
      </c>
      <c r="C50" t="s">
        <v>579</v>
      </c>
      <c r="D50" t="s">
        <v>549</v>
      </c>
      <c r="E50" t="s">
        <v>1630</v>
      </c>
      <c r="F50" t="s">
        <v>1630</v>
      </c>
      <c r="G50" t="s">
        <v>1630</v>
      </c>
      <c r="H50" t="s">
        <v>1630</v>
      </c>
      <c r="I50" t="s">
        <v>1631</v>
      </c>
      <c r="J50" t="s">
        <v>1630</v>
      </c>
      <c r="K50" t="s">
        <v>1630</v>
      </c>
      <c r="L50" t="s">
        <v>1631</v>
      </c>
      <c r="M50" t="s">
        <v>1631</v>
      </c>
      <c r="O50" t="s">
        <v>1631</v>
      </c>
      <c r="Q50" t="s">
        <v>1631</v>
      </c>
      <c r="R50" t="s">
        <v>1630</v>
      </c>
      <c r="S50" t="s">
        <v>1630</v>
      </c>
      <c r="T50" t="s">
        <v>1630</v>
      </c>
      <c r="U50" t="s">
        <v>1630</v>
      </c>
      <c r="V50" t="s">
        <v>1631</v>
      </c>
      <c r="W50" t="s">
        <v>1630</v>
      </c>
      <c r="X50" t="s">
        <v>1630</v>
      </c>
    </row>
    <row r="51" spans="1:24" x14ac:dyDescent="0.2">
      <c r="A51" s="140"/>
      <c r="B51">
        <v>139</v>
      </c>
      <c r="C51" t="s">
        <v>585</v>
      </c>
      <c r="D51" t="s">
        <v>549</v>
      </c>
      <c r="E51" t="s">
        <v>1630</v>
      </c>
      <c r="F51" t="s">
        <v>1630</v>
      </c>
      <c r="G51" t="s">
        <v>1630</v>
      </c>
      <c r="H51" t="s">
        <v>1630</v>
      </c>
      <c r="I51" t="s">
        <v>1631</v>
      </c>
      <c r="J51" t="s">
        <v>1630</v>
      </c>
      <c r="K51" t="s">
        <v>1630</v>
      </c>
      <c r="L51" t="s">
        <v>1630</v>
      </c>
      <c r="M51" t="s">
        <v>1631</v>
      </c>
      <c r="Q51" t="s">
        <v>1630</v>
      </c>
      <c r="R51" t="s">
        <v>1630</v>
      </c>
      <c r="S51" t="s">
        <v>1630</v>
      </c>
      <c r="T51" t="s">
        <v>1630</v>
      </c>
      <c r="U51" t="s">
        <v>1630</v>
      </c>
      <c r="V51" t="s">
        <v>1631</v>
      </c>
      <c r="W51" t="s">
        <v>1630</v>
      </c>
      <c r="X51" t="s">
        <v>1630</v>
      </c>
    </row>
    <row r="52" spans="1:24" x14ac:dyDescent="0.2">
      <c r="A52" s="140"/>
      <c r="B52">
        <v>143</v>
      </c>
      <c r="C52" t="s">
        <v>594</v>
      </c>
      <c r="D52" t="s">
        <v>549</v>
      </c>
      <c r="E52" t="s">
        <v>1630</v>
      </c>
      <c r="F52" t="s">
        <v>1630</v>
      </c>
      <c r="G52" t="s">
        <v>1630</v>
      </c>
      <c r="H52" t="s">
        <v>1630</v>
      </c>
      <c r="I52" t="s">
        <v>1631</v>
      </c>
      <c r="J52" t="s">
        <v>1630</v>
      </c>
      <c r="K52" t="s">
        <v>1630</v>
      </c>
      <c r="L52" t="s">
        <v>1631</v>
      </c>
      <c r="M52" t="s">
        <v>1631</v>
      </c>
      <c r="O52" t="s">
        <v>1631</v>
      </c>
      <c r="Q52" t="s">
        <v>1631</v>
      </c>
      <c r="R52" t="s">
        <v>1630</v>
      </c>
      <c r="S52" t="s">
        <v>1630</v>
      </c>
      <c r="T52" t="s">
        <v>1630</v>
      </c>
      <c r="U52" t="s">
        <v>1630</v>
      </c>
      <c r="V52" t="s">
        <v>1630</v>
      </c>
      <c r="W52" t="s">
        <v>1631</v>
      </c>
      <c r="X52" t="s">
        <v>1630</v>
      </c>
    </row>
    <row r="53" spans="1:24" x14ac:dyDescent="0.2">
      <c r="A53" s="140"/>
      <c r="B53">
        <v>108</v>
      </c>
      <c r="C53" t="s">
        <v>601</v>
      </c>
      <c r="D53" t="s">
        <v>602</v>
      </c>
      <c r="E53" t="s">
        <v>1630</v>
      </c>
      <c r="F53" t="s">
        <v>1630</v>
      </c>
      <c r="G53" t="s">
        <v>1630</v>
      </c>
      <c r="H53" t="s">
        <v>1630</v>
      </c>
      <c r="I53" t="s">
        <v>1631</v>
      </c>
      <c r="J53" t="s">
        <v>1630</v>
      </c>
      <c r="K53" t="s">
        <v>1630</v>
      </c>
      <c r="L53" t="s">
        <v>1630</v>
      </c>
      <c r="M53" t="s">
        <v>1631</v>
      </c>
      <c r="O53" t="s">
        <v>1631</v>
      </c>
      <c r="Q53" t="s">
        <v>1630</v>
      </c>
      <c r="R53" t="s">
        <v>1630</v>
      </c>
      <c r="S53" t="s">
        <v>1630</v>
      </c>
      <c r="T53" t="s">
        <v>1631</v>
      </c>
      <c r="U53" t="s">
        <v>1630</v>
      </c>
      <c r="V53" t="s">
        <v>1631</v>
      </c>
      <c r="W53" t="s">
        <v>1630</v>
      </c>
      <c r="X53" t="s">
        <v>1630</v>
      </c>
    </row>
    <row r="54" spans="1:24" x14ac:dyDescent="0.2">
      <c r="A54" s="140"/>
      <c r="B54">
        <v>106</v>
      </c>
      <c r="C54" t="s">
        <v>610</v>
      </c>
      <c r="D54" t="s">
        <v>611</v>
      </c>
      <c r="E54" t="s">
        <v>1630</v>
      </c>
      <c r="F54" t="s">
        <v>1630</v>
      </c>
      <c r="G54" t="s">
        <v>1630</v>
      </c>
      <c r="H54" t="s">
        <v>1630</v>
      </c>
      <c r="I54" t="s">
        <v>1630</v>
      </c>
      <c r="J54" t="s">
        <v>1630</v>
      </c>
      <c r="K54" t="s">
        <v>1630</v>
      </c>
      <c r="L54" t="s">
        <v>1631</v>
      </c>
      <c r="M54" t="s">
        <v>1631</v>
      </c>
      <c r="O54" t="s">
        <v>1631</v>
      </c>
      <c r="Q54" t="s">
        <v>1630</v>
      </c>
      <c r="R54" t="s">
        <v>1630</v>
      </c>
      <c r="S54" t="s">
        <v>1631</v>
      </c>
      <c r="T54" t="s">
        <v>1630</v>
      </c>
      <c r="U54" t="s">
        <v>1630</v>
      </c>
      <c r="V54" t="s">
        <v>1631</v>
      </c>
      <c r="W54" t="s">
        <v>1630</v>
      </c>
      <c r="X54" t="s">
        <v>1630</v>
      </c>
    </row>
    <row r="55" spans="1:24" x14ac:dyDescent="0.2">
      <c r="A55" s="140"/>
      <c r="B55">
        <v>149</v>
      </c>
      <c r="C55" t="s">
        <v>620</v>
      </c>
      <c r="D55" t="s">
        <v>621</v>
      </c>
      <c r="E55" t="s">
        <v>1630</v>
      </c>
      <c r="F55" t="s">
        <v>1630</v>
      </c>
      <c r="G55" t="s">
        <v>1630</v>
      </c>
      <c r="H55" t="s">
        <v>1630</v>
      </c>
      <c r="I55" t="s">
        <v>1631</v>
      </c>
      <c r="J55" t="s">
        <v>1630</v>
      </c>
      <c r="K55" t="s">
        <v>1631</v>
      </c>
      <c r="L55" t="s">
        <v>1632</v>
      </c>
      <c r="M55" t="s">
        <v>1632</v>
      </c>
      <c r="O55" t="s">
        <v>1631</v>
      </c>
      <c r="Q55" t="s">
        <v>1631</v>
      </c>
      <c r="R55" t="s">
        <v>1630</v>
      </c>
      <c r="S55" t="s">
        <v>1630</v>
      </c>
      <c r="T55" t="s">
        <v>1630</v>
      </c>
      <c r="U55" t="s">
        <v>1630</v>
      </c>
      <c r="V55" t="s">
        <v>1630</v>
      </c>
      <c r="W55" t="s">
        <v>1631</v>
      </c>
      <c r="X55" t="s">
        <v>1630</v>
      </c>
    </row>
    <row r="56" spans="1:24" x14ac:dyDescent="0.2">
      <c r="A56" s="140"/>
      <c r="B56">
        <v>35</v>
      </c>
      <c r="C56" t="s">
        <v>628</v>
      </c>
      <c r="D56" t="s">
        <v>629</v>
      </c>
      <c r="E56" t="s">
        <v>1630</v>
      </c>
      <c r="F56" t="s">
        <v>1630</v>
      </c>
      <c r="G56" t="s">
        <v>1630</v>
      </c>
      <c r="H56" t="s">
        <v>1630</v>
      </c>
      <c r="I56" t="s">
        <v>1631</v>
      </c>
      <c r="J56" t="s">
        <v>1630</v>
      </c>
      <c r="K56" t="s">
        <v>1630</v>
      </c>
      <c r="L56" t="s">
        <v>1631</v>
      </c>
      <c r="M56" t="s">
        <v>1631</v>
      </c>
      <c r="P56" t="s">
        <v>1631</v>
      </c>
      <c r="Q56" t="s">
        <v>1630</v>
      </c>
      <c r="R56" t="s">
        <v>1630</v>
      </c>
      <c r="S56" t="s">
        <v>1630</v>
      </c>
      <c r="T56" t="s">
        <v>1630</v>
      </c>
      <c r="U56" t="s">
        <v>1630</v>
      </c>
      <c r="V56" t="s">
        <v>1631</v>
      </c>
      <c r="W56" t="s">
        <v>1630</v>
      </c>
      <c r="X56" t="s">
        <v>1630</v>
      </c>
    </row>
    <row r="57" spans="1:24" x14ac:dyDescent="0.2">
      <c r="A57" s="140"/>
      <c r="B57">
        <v>70</v>
      </c>
      <c r="C57" t="s">
        <v>636</v>
      </c>
      <c r="D57" t="s">
        <v>637</v>
      </c>
      <c r="E57" t="s">
        <v>1630</v>
      </c>
      <c r="F57" t="s">
        <v>1630</v>
      </c>
      <c r="G57" t="s">
        <v>1630</v>
      </c>
      <c r="H57" t="s">
        <v>1630</v>
      </c>
      <c r="I57" t="s">
        <v>1631</v>
      </c>
      <c r="J57" t="s">
        <v>1630</v>
      </c>
      <c r="K57" t="s">
        <v>1630</v>
      </c>
      <c r="L57" t="s">
        <v>1631</v>
      </c>
      <c r="M57" t="s">
        <v>1631</v>
      </c>
      <c r="O57" t="s">
        <v>1631</v>
      </c>
      <c r="Q57" t="s">
        <v>1630</v>
      </c>
      <c r="R57" t="s">
        <v>1630</v>
      </c>
      <c r="S57" t="s">
        <v>1630</v>
      </c>
      <c r="T57" t="s">
        <v>1630</v>
      </c>
      <c r="U57" t="s">
        <v>1630</v>
      </c>
      <c r="V57" t="s">
        <v>1631</v>
      </c>
      <c r="W57" t="s">
        <v>1630</v>
      </c>
      <c r="X57" t="s">
        <v>1630</v>
      </c>
    </row>
    <row r="58" spans="1:24" x14ac:dyDescent="0.2">
      <c r="A58" s="140"/>
      <c r="B58">
        <v>57</v>
      </c>
      <c r="C58" t="s">
        <v>643</v>
      </c>
      <c r="D58" t="s">
        <v>644</v>
      </c>
      <c r="E58" t="s">
        <v>1630</v>
      </c>
      <c r="F58" t="s">
        <v>1630</v>
      </c>
      <c r="G58" t="s">
        <v>1630</v>
      </c>
      <c r="H58" t="s">
        <v>1630</v>
      </c>
      <c r="I58" t="s">
        <v>1631</v>
      </c>
      <c r="J58" t="s">
        <v>1630</v>
      </c>
      <c r="K58" t="s">
        <v>1630</v>
      </c>
      <c r="L58" t="s">
        <v>1631</v>
      </c>
      <c r="M58" t="s">
        <v>1631</v>
      </c>
      <c r="Q58" t="s">
        <v>1630</v>
      </c>
      <c r="R58" t="s">
        <v>1630</v>
      </c>
      <c r="S58" t="s">
        <v>1630</v>
      </c>
      <c r="T58" t="s">
        <v>1630</v>
      </c>
      <c r="U58" t="s">
        <v>1630</v>
      </c>
      <c r="V58" t="s">
        <v>1630</v>
      </c>
      <c r="W58" t="s">
        <v>1631</v>
      </c>
      <c r="X58" t="s">
        <v>1630</v>
      </c>
    </row>
    <row r="59" spans="1:24" x14ac:dyDescent="0.2">
      <c r="A59" s="140"/>
      <c r="B59">
        <v>68</v>
      </c>
      <c r="C59" t="s">
        <v>650</v>
      </c>
      <c r="D59" t="s">
        <v>651</v>
      </c>
      <c r="E59" t="s">
        <v>1630</v>
      </c>
      <c r="F59" t="s">
        <v>1631</v>
      </c>
      <c r="G59" t="s">
        <v>1630</v>
      </c>
      <c r="H59" t="s">
        <v>1630</v>
      </c>
      <c r="I59" t="s">
        <v>1630</v>
      </c>
      <c r="J59" t="s">
        <v>1630</v>
      </c>
      <c r="K59" t="s">
        <v>1630</v>
      </c>
      <c r="L59" t="s">
        <v>1631</v>
      </c>
      <c r="M59" t="s">
        <v>1630</v>
      </c>
      <c r="O59" t="s">
        <v>1631</v>
      </c>
      <c r="Q59" t="s">
        <v>1630</v>
      </c>
      <c r="R59" t="s">
        <v>1630</v>
      </c>
      <c r="S59" t="s">
        <v>1630</v>
      </c>
      <c r="T59" t="s">
        <v>1630</v>
      </c>
      <c r="U59" t="s">
        <v>1630</v>
      </c>
      <c r="V59" t="s">
        <v>1630</v>
      </c>
      <c r="W59" t="s">
        <v>1631</v>
      </c>
      <c r="X59" t="s">
        <v>1630</v>
      </c>
    </row>
    <row r="60" spans="1:24" x14ac:dyDescent="0.2">
      <c r="A60" s="140"/>
      <c r="B60">
        <v>121</v>
      </c>
      <c r="C60" t="s">
        <v>660</v>
      </c>
      <c r="D60" t="s">
        <v>661</v>
      </c>
      <c r="E60" t="s">
        <v>1630</v>
      </c>
      <c r="F60" t="s">
        <v>1631</v>
      </c>
      <c r="G60" t="s">
        <v>1630</v>
      </c>
      <c r="H60" t="s">
        <v>1630</v>
      </c>
      <c r="I60" t="s">
        <v>1631</v>
      </c>
      <c r="J60" t="s">
        <v>1630</v>
      </c>
      <c r="K60" t="s">
        <v>1631</v>
      </c>
      <c r="L60" t="s">
        <v>1631</v>
      </c>
      <c r="M60" t="s">
        <v>1631</v>
      </c>
      <c r="Q60" t="s">
        <v>1630</v>
      </c>
      <c r="R60" t="s">
        <v>1630</v>
      </c>
      <c r="S60" t="s">
        <v>1630</v>
      </c>
      <c r="T60" t="s">
        <v>1630</v>
      </c>
      <c r="U60" t="s">
        <v>1630</v>
      </c>
      <c r="V60" t="s">
        <v>1630</v>
      </c>
      <c r="W60" t="s">
        <v>1631</v>
      </c>
      <c r="X60" t="s">
        <v>1630</v>
      </c>
    </row>
    <row r="61" spans="1:24" x14ac:dyDescent="0.2">
      <c r="A61" s="140"/>
      <c r="B61">
        <v>140</v>
      </c>
      <c r="C61" t="s">
        <v>669</v>
      </c>
      <c r="D61" t="s">
        <v>670</v>
      </c>
      <c r="E61" t="s">
        <v>1630</v>
      </c>
      <c r="F61" t="s">
        <v>1630</v>
      </c>
      <c r="G61" t="s">
        <v>1630</v>
      </c>
      <c r="H61" t="s">
        <v>1630</v>
      </c>
      <c r="I61" t="s">
        <v>1631</v>
      </c>
      <c r="J61" t="s">
        <v>1630</v>
      </c>
      <c r="K61" t="s">
        <v>1630</v>
      </c>
      <c r="L61" t="s">
        <v>1632</v>
      </c>
      <c r="M61" t="s">
        <v>1631</v>
      </c>
      <c r="P61" t="s">
        <v>1631</v>
      </c>
      <c r="Q61" t="s">
        <v>1630</v>
      </c>
      <c r="R61" t="s">
        <v>1630</v>
      </c>
      <c r="S61" t="s">
        <v>1630</v>
      </c>
      <c r="T61" t="s">
        <v>1630</v>
      </c>
      <c r="U61" t="s">
        <v>1630</v>
      </c>
      <c r="V61" t="s">
        <v>1630</v>
      </c>
      <c r="W61" t="s">
        <v>1631</v>
      </c>
      <c r="X61" t="s">
        <v>1630</v>
      </c>
    </row>
    <row r="62" spans="1:24" x14ac:dyDescent="0.2">
      <c r="A62" s="140"/>
      <c r="B62">
        <v>114</v>
      </c>
      <c r="C62" t="s">
        <v>680</v>
      </c>
      <c r="D62" t="s">
        <v>681</v>
      </c>
      <c r="E62" t="s">
        <v>1630</v>
      </c>
      <c r="F62" t="s">
        <v>1631</v>
      </c>
      <c r="G62" t="s">
        <v>1630</v>
      </c>
      <c r="H62" t="s">
        <v>1630</v>
      </c>
      <c r="I62" t="s">
        <v>1630</v>
      </c>
      <c r="J62" t="s">
        <v>1630</v>
      </c>
      <c r="K62" t="s">
        <v>1631</v>
      </c>
      <c r="L62" t="s">
        <v>1630</v>
      </c>
      <c r="M62" t="s">
        <v>1631</v>
      </c>
      <c r="Q62" t="s">
        <v>1630</v>
      </c>
      <c r="R62" t="s">
        <v>1630</v>
      </c>
      <c r="S62" t="s">
        <v>1631</v>
      </c>
      <c r="T62" t="s">
        <v>1630</v>
      </c>
      <c r="U62" t="s">
        <v>1630</v>
      </c>
      <c r="V62" t="s">
        <v>1630</v>
      </c>
      <c r="W62" t="s">
        <v>1630</v>
      </c>
      <c r="X62" t="s">
        <v>1631</v>
      </c>
    </row>
    <row r="63" spans="1:24" x14ac:dyDescent="0.2">
      <c r="A63" s="140"/>
      <c r="B63">
        <v>93</v>
      </c>
      <c r="C63" t="s">
        <v>687</v>
      </c>
      <c r="D63" t="s">
        <v>688</v>
      </c>
      <c r="E63" t="s">
        <v>1630</v>
      </c>
      <c r="F63" t="s">
        <v>1630</v>
      </c>
      <c r="G63" t="s">
        <v>1630</v>
      </c>
      <c r="H63" t="s">
        <v>1630</v>
      </c>
      <c r="I63" t="s">
        <v>1631</v>
      </c>
      <c r="J63" t="s">
        <v>1630</v>
      </c>
      <c r="K63" t="s">
        <v>1630</v>
      </c>
      <c r="L63" t="s">
        <v>1630</v>
      </c>
      <c r="M63" t="s">
        <v>1631</v>
      </c>
      <c r="O63" t="s">
        <v>1631</v>
      </c>
      <c r="P63" t="s">
        <v>1631</v>
      </c>
      <c r="Q63" t="s">
        <v>1630</v>
      </c>
      <c r="R63" t="s">
        <v>1630</v>
      </c>
      <c r="S63" t="s">
        <v>1630</v>
      </c>
      <c r="T63" t="s">
        <v>1630</v>
      </c>
      <c r="U63" t="s">
        <v>1631</v>
      </c>
      <c r="V63" t="s">
        <v>1630</v>
      </c>
      <c r="W63" t="s">
        <v>1631</v>
      </c>
      <c r="X63" t="s">
        <v>1630</v>
      </c>
    </row>
    <row r="64" spans="1:24" x14ac:dyDescent="0.2">
      <c r="A64" s="140"/>
      <c r="B64">
        <v>136</v>
      </c>
      <c r="C64" t="s">
        <v>700</v>
      </c>
      <c r="D64" t="s">
        <v>701</v>
      </c>
      <c r="E64" t="s">
        <v>1630</v>
      </c>
      <c r="F64" t="s">
        <v>1630</v>
      </c>
      <c r="G64" t="s">
        <v>1630</v>
      </c>
      <c r="H64" t="s">
        <v>1630</v>
      </c>
      <c r="I64" t="s">
        <v>1630</v>
      </c>
      <c r="J64" t="s">
        <v>1630</v>
      </c>
      <c r="K64" t="s">
        <v>1630</v>
      </c>
      <c r="L64" t="s">
        <v>1631</v>
      </c>
      <c r="M64" t="s">
        <v>1630</v>
      </c>
      <c r="P64" t="s">
        <v>1631</v>
      </c>
      <c r="Q64" t="s">
        <v>1630</v>
      </c>
      <c r="R64" t="s">
        <v>1631</v>
      </c>
      <c r="S64" t="s">
        <v>1630</v>
      </c>
      <c r="T64" t="s">
        <v>1630</v>
      </c>
      <c r="U64" t="s">
        <v>1630</v>
      </c>
      <c r="W64" t="s">
        <v>1631</v>
      </c>
      <c r="X64" t="s">
        <v>1630</v>
      </c>
    </row>
    <row r="65" spans="1:24" x14ac:dyDescent="0.2">
      <c r="A65" s="140"/>
      <c r="B65">
        <v>74</v>
      </c>
      <c r="C65" t="s">
        <v>709</v>
      </c>
      <c r="D65" t="s">
        <v>710</v>
      </c>
      <c r="E65" t="s">
        <v>1630</v>
      </c>
      <c r="F65" t="s">
        <v>1630</v>
      </c>
      <c r="G65" t="s">
        <v>1630</v>
      </c>
      <c r="H65" t="s">
        <v>1630</v>
      </c>
      <c r="I65" t="s">
        <v>1630</v>
      </c>
      <c r="J65" t="s">
        <v>1630</v>
      </c>
      <c r="K65" t="s">
        <v>1631</v>
      </c>
      <c r="L65" t="s">
        <v>1631</v>
      </c>
      <c r="M65" t="s">
        <v>1631</v>
      </c>
      <c r="N65" t="s">
        <v>1631</v>
      </c>
      <c r="Q65" t="s">
        <v>1631</v>
      </c>
      <c r="R65" t="s">
        <v>1630</v>
      </c>
      <c r="S65" t="s">
        <v>1630</v>
      </c>
      <c r="T65" t="s">
        <v>1630</v>
      </c>
      <c r="U65" t="s">
        <v>1630</v>
      </c>
      <c r="V65" t="s">
        <v>1630</v>
      </c>
      <c r="W65" t="s">
        <v>1631</v>
      </c>
      <c r="X65" t="s">
        <v>1630</v>
      </c>
    </row>
    <row r="66" spans="1:24" x14ac:dyDescent="0.2">
      <c r="A66" s="140"/>
      <c r="B66">
        <v>49</v>
      </c>
      <c r="C66" t="s">
        <v>719</v>
      </c>
      <c r="D66" t="s">
        <v>720</v>
      </c>
      <c r="E66" t="s">
        <v>1630</v>
      </c>
      <c r="F66" t="s">
        <v>1630</v>
      </c>
      <c r="G66" t="s">
        <v>1630</v>
      </c>
      <c r="H66" t="s">
        <v>1632</v>
      </c>
      <c r="I66" t="s">
        <v>1631</v>
      </c>
      <c r="J66" t="s">
        <v>1630</v>
      </c>
      <c r="K66" t="s">
        <v>1630</v>
      </c>
      <c r="L66" t="s">
        <v>1631</v>
      </c>
      <c r="M66" t="s">
        <v>1630</v>
      </c>
      <c r="O66" t="s">
        <v>1631</v>
      </c>
      <c r="Q66" t="s">
        <v>1630</v>
      </c>
      <c r="R66" t="s">
        <v>1630</v>
      </c>
      <c r="S66" t="s">
        <v>1631</v>
      </c>
      <c r="T66" t="s">
        <v>1630</v>
      </c>
      <c r="U66" t="s">
        <v>1630</v>
      </c>
      <c r="V66" t="s">
        <v>1630</v>
      </c>
      <c r="W66" t="s">
        <v>1631</v>
      </c>
      <c r="X66" t="s">
        <v>1630</v>
      </c>
    </row>
    <row r="67" spans="1:24" x14ac:dyDescent="0.2">
      <c r="A67" s="140"/>
      <c r="B67">
        <v>100</v>
      </c>
      <c r="C67" t="s">
        <v>729</v>
      </c>
      <c r="D67" t="s">
        <v>720</v>
      </c>
      <c r="E67" t="s">
        <v>1630</v>
      </c>
      <c r="F67" t="s">
        <v>1630</v>
      </c>
      <c r="G67" t="s">
        <v>1630</v>
      </c>
      <c r="H67" t="s">
        <v>1632</v>
      </c>
      <c r="I67" t="s">
        <v>1631</v>
      </c>
      <c r="J67" t="s">
        <v>1630</v>
      </c>
      <c r="K67" t="s">
        <v>1630</v>
      </c>
      <c r="L67" t="s">
        <v>1631</v>
      </c>
      <c r="M67" t="s">
        <v>1630</v>
      </c>
      <c r="N67" t="s">
        <v>1631</v>
      </c>
      <c r="O67" t="s">
        <v>1631</v>
      </c>
      <c r="P67" t="s">
        <v>1631</v>
      </c>
      <c r="Q67" t="s">
        <v>1630</v>
      </c>
      <c r="R67" t="s">
        <v>1630</v>
      </c>
      <c r="S67" t="s">
        <v>1630</v>
      </c>
      <c r="T67" t="s">
        <v>1630</v>
      </c>
      <c r="U67" t="s">
        <v>1630</v>
      </c>
      <c r="V67" t="s">
        <v>1630</v>
      </c>
      <c r="W67" t="s">
        <v>1631</v>
      </c>
      <c r="X67" t="s">
        <v>1630</v>
      </c>
    </row>
    <row r="68" spans="1:24" x14ac:dyDescent="0.2">
      <c r="A68" s="140"/>
      <c r="B68">
        <v>141</v>
      </c>
      <c r="C68" t="s">
        <v>736</v>
      </c>
      <c r="D68" t="s">
        <v>737</v>
      </c>
      <c r="E68" t="s">
        <v>1630</v>
      </c>
      <c r="F68" t="s">
        <v>1630</v>
      </c>
      <c r="G68" t="s">
        <v>1630</v>
      </c>
      <c r="H68" t="s">
        <v>1630</v>
      </c>
      <c r="I68" t="s">
        <v>1631</v>
      </c>
      <c r="J68" t="s">
        <v>1630</v>
      </c>
      <c r="K68" t="s">
        <v>1630</v>
      </c>
      <c r="L68" t="s">
        <v>1631</v>
      </c>
      <c r="M68" t="s">
        <v>1630</v>
      </c>
      <c r="N68" t="s">
        <v>1631</v>
      </c>
      <c r="Q68" t="s">
        <v>1631</v>
      </c>
      <c r="R68" t="s">
        <v>1630</v>
      </c>
      <c r="S68" t="s">
        <v>1630</v>
      </c>
      <c r="T68" t="s">
        <v>1630</v>
      </c>
      <c r="U68" t="s">
        <v>1630</v>
      </c>
      <c r="W68" t="s">
        <v>1631</v>
      </c>
      <c r="X68" t="s">
        <v>1630</v>
      </c>
    </row>
    <row r="69" spans="1:24" x14ac:dyDescent="0.2">
      <c r="A69" s="140"/>
      <c r="B69">
        <v>18</v>
      </c>
      <c r="C69" t="s">
        <v>748</v>
      </c>
      <c r="D69" t="s">
        <v>749</v>
      </c>
      <c r="E69" t="s">
        <v>1630</v>
      </c>
      <c r="F69" t="s">
        <v>1630</v>
      </c>
      <c r="G69" t="s">
        <v>1630</v>
      </c>
      <c r="H69" t="s">
        <v>1630</v>
      </c>
      <c r="I69" t="s">
        <v>1630</v>
      </c>
      <c r="J69" t="s">
        <v>1630</v>
      </c>
      <c r="K69" t="s">
        <v>1630</v>
      </c>
      <c r="L69" t="s">
        <v>1631</v>
      </c>
      <c r="M69" t="s">
        <v>1630</v>
      </c>
      <c r="Q69" t="s">
        <v>1630</v>
      </c>
      <c r="R69" t="s">
        <v>1630</v>
      </c>
      <c r="S69" t="s">
        <v>1630</v>
      </c>
      <c r="T69" t="s">
        <v>1630</v>
      </c>
      <c r="U69" t="s">
        <v>1630</v>
      </c>
      <c r="V69" t="s">
        <v>1630</v>
      </c>
      <c r="W69" t="s">
        <v>1630</v>
      </c>
      <c r="X69" t="s">
        <v>1631</v>
      </c>
    </row>
    <row r="70" spans="1:24" x14ac:dyDescent="0.2">
      <c r="A70" s="140"/>
      <c r="B70">
        <v>48</v>
      </c>
      <c r="C70" t="s">
        <v>757</v>
      </c>
      <c r="D70" t="s">
        <v>758</v>
      </c>
      <c r="E70" t="s">
        <v>1630</v>
      </c>
      <c r="F70" t="s">
        <v>1631</v>
      </c>
      <c r="G70" t="s">
        <v>1630</v>
      </c>
      <c r="H70" t="s">
        <v>1630</v>
      </c>
      <c r="I70" t="s">
        <v>1630</v>
      </c>
      <c r="J70" t="s">
        <v>1630</v>
      </c>
      <c r="K70" t="s">
        <v>1630</v>
      </c>
      <c r="L70" t="s">
        <v>1631</v>
      </c>
      <c r="M70" t="s">
        <v>1631</v>
      </c>
      <c r="P70" t="s">
        <v>1631</v>
      </c>
      <c r="Q70" t="s">
        <v>1630</v>
      </c>
      <c r="R70" t="s">
        <v>1630</v>
      </c>
      <c r="S70" t="s">
        <v>1631</v>
      </c>
      <c r="T70" t="s">
        <v>1630</v>
      </c>
      <c r="U70" t="s">
        <v>1630</v>
      </c>
      <c r="V70" t="s">
        <v>1630</v>
      </c>
      <c r="W70" t="s">
        <v>1631</v>
      </c>
      <c r="X70" t="s">
        <v>1630</v>
      </c>
    </row>
    <row r="71" spans="1:24" x14ac:dyDescent="0.2">
      <c r="A71" s="140"/>
      <c r="B71">
        <v>72</v>
      </c>
      <c r="C71" t="s">
        <v>766</v>
      </c>
      <c r="D71" t="s">
        <v>758</v>
      </c>
      <c r="E71" t="s">
        <v>1630</v>
      </c>
      <c r="F71" t="s">
        <v>1631</v>
      </c>
      <c r="G71" t="s">
        <v>1630</v>
      </c>
      <c r="H71" t="s">
        <v>1630</v>
      </c>
      <c r="I71" t="s">
        <v>1630</v>
      </c>
      <c r="J71" t="s">
        <v>1630</v>
      </c>
      <c r="K71" t="s">
        <v>1630</v>
      </c>
      <c r="L71" t="s">
        <v>1631</v>
      </c>
      <c r="M71" t="s">
        <v>1631</v>
      </c>
      <c r="P71" t="s">
        <v>1631</v>
      </c>
      <c r="Q71" t="s">
        <v>1630</v>
      </c>
      <c r="R71" t="s">
        <v>1630</v>
      </c>
      <c r="S71" t="s">
        <v>1631</v>
      </c>
      <c r="T71" t="s">
        <v>1630</v>
      </c>
      <c r="U71" t="s">
        <v>1630</v>
      </c>
      <c r="V71" t="s">
        <v>1630</v>
      </c>
      <c r="W71" t="s">
        <v>1631</v>
      </c>
      <c r="X71" t="s">
        <v>1630</v>
      </c>
    </row>
    <row r="72" spans="1:24" x14ac:dyDescent="0.2">
      <c r="A72" s="140"/>
      <c r="B72">
        <v>92</v>
      </c>
      <c r="C72" t="s">
        <v>774</v>
      </c>
      <c r="D72" t="s">
        <v>775</v>
      </c>
      <c r="E72" t="s">
        <v>1630</v>
      </c>
      <c r="F72" t="s">
        <v>1631</v>
      </c>
      <c r="G72" t="s">
        <v>1630</v>
      </c>
      <c r="H72" t="s">
        <v>1630</v>
      </c>
      <c r="I72" t="s">
        <v>1630</v>
      </c>
      <c r="J72" t="s">
        <v>1630</v>
      </c>
      <c r="K72" t="s">
        <v>1630</v>
      </c>
      <c r="L72" t="s">
        <v>1631</v>
      </c>
      <c r="M72" t="s">
        <v>1631</v>
      </c>
      <c r="N72" t="s">
        <v>1631</v>
      </c>
      <c r="Q72" t="s">
        <v>1630</v>
      </c>
      <c r="R72" t="s">
        <v>1630</v>
      </c>
      <c r="S72" t="s">
        <v>1630</v>
      </c>
      <c r="T72" t="s">
        <v>1630</v>
      </c>
      <c r="U72" t="s">
        <v>1630</v>
      </c>
      <c r="V72" t="s">
        <v>1630</v>
      </c>
      <c r="W72" t="s">
        <v>1631</v>
      </c>
      <c r="X72" t="s">
        <v>1630</v>
      </c>
    </row>
    <row r="73" spans="1:24" x14ac:dyDescent="0.2">
      <c r="A73" s="140"/>
      <c r="B73">
        <v>60</v>
      </c>
      <c r="C73" t="s">
        <v>783</v>
      </c>
      <c r="D73" t="s">
        <v>784</v>
      </c>
      <c r="E73" t="s">
        <v>1630</v>
      </c>
      <c r="F73" t="s">
        <v>1630</v>
      </c>
      <c r="G73" t="s">
        <v>1630</v>
      </c>
      <c r="H73" t="s">
        <v>1630</v>
      </c>
      <c r="I73" t="s">
        <v>1631</v>
      </c>
      <c r="J73" t="s">
        <v>1630</v>
      </c>
      <c r="K73" t="s">
        <v>1630</v>
      </c>
      <c r="L73" t="s">
        <v>1631</v>
      </c>
      <c r="M73" t="s">
        <v>1630</v>
      </c>
      <c r="N73" t="s">
        <v>1631</v>
      </c>
      <c r="Q73" t="s">
        <v>1630</v>
      </c>
      <c r="R73" t="s">
        <v>1630</v>
      </c>
      <c r="S73" t="s">
        <v>1630</v>
      </c>
      <c r="T73" t="s">
        <v>1631</v>
      </c>
      <c r="U73" t="s">
        <v>1630</v>
      </c>
      <c r="V73" t="s">
        <v>1631</v>
      </c>
      <c r="W73" t="s">
        <v>1630</v>
      </c>
      <c r="X73" t="s">
        <v>1630</v>
      </c>
    </row>
    <row r="74" spans="1:24" x14ac:dyDescent="0.2">
      <c r="A74" s="140"/>
      <c r="B74">
        <v>145</v>
      </c>
      <c r="C74" t="s">
        <v>791</v>
      </c>
      <c r="D74" t="s">
        <v>792</v>
      </c>
      <c r="E74" t="s">
        <v>1631</v>
      </c>
      <c r="F74" t="s">
        <v>1631</v>
      </c>
      <c r="G74" t="s">
        <v>1630</v>
      </c>
      <c r="H74" t="s">
        <v>1631</v>
      </c>
      <c r="I74" t="s">
        <v>1631</v>
      </c>
      <c r="J74" t="s">
        <v>1630</v>
      </c>
      <c r="K74" t="s">
        <v>1631</v>
      </c>
      <c r="L74" t="s">
        <v>1631</v>
      </c>
      <c r="M74" t="s">
        <v>1631</v>
      </c>
      <c r="N74" t="s">
        <v>1631</v>
      </c>
      <c r="Q74" t="s">
        <v>1630</v>
      </c>
      <c r="R74" t="s">
        <v>1630</v>
      </c>
      <c r="S74" t="s">
        <v>1630</v>
      </c>
      <c r="T74" t="s">
        <v>1630</v>
      </c>
      <c r="U74" t="s">
        <v>1630</v>
      </c>
      <c r="V74" t="s">
        <v>1630</v>
      </c>
      <c r="W74" t="s">
        <v>1630</v>
      </c>
      <c r="X74" t="s">
        <v>1631</v>
      </c>
    </row>
    <row r="75" spans="1:24" x14ac:dyDescent="0.2">
      <c r="A75" s="140"/>
      <c r="B75">
        <v>45</v>
      </c>
      <c r="C75" t="s">
        <v>804</v>
      </c>
      <c r="D75" t="s">
        <v>805</v>
      </c>
      <c r="E75" t="s">
        <v>1630</v>
      </c>
      <c r="F75" t="s">
        <v>1631</v>
      </c>
      <c r="G75" t="s">
        <v>1630</v>
      </c>
      <c r="H75" t="s">
        <v>1631</v>
      </c>
      <c r="I75" t="s">
        <v>1631</v>
      </c>
      <c r="J75" t="s">
        <v>1630</v>
      </c>
      <c r="K75" t="s">
        <v>1631</v>
      </c>
      <c r="L75" t="s">
        <v>1631</v>
      </c>
      <c r="M75" t="s">
        <v>1631</v>
      </c>
      <c r="N75" t="s">
        <v>1631</v>
      </c>
      <c r="Q75" t="s">
        <v>1630</v>
      </c>
      <c r="R75" t="s">
        <v>1630</v>
      </c>
      <c r="S75" t="s">
        <v>1630</v>
      </c>
      <c r="T75" t="s">
        <v>1630</v>
      </c>
      <c r="U75" t="s">
        <v>1630</v>
      </c>
      <c r="V75" t="s">
        <v>1630</v>
      </c>
      <c r="W75" t="s">
        <v>1631</v>
      </c>
      <c r="X75" t="s">
        <v>1630</v>
      </c>
    </row>
    <row r="76" spans="1:24" x14ac:dyDescent="0.2">
      <c r="A76" s="140"/>
      <c r="B76">
        <v>29</v>
      </c>
      <c r="C76" t="s">
        <v>817</v>
      </c>
      <c r="D76" t="s">
        <v>818</v>
      </c>
      <c r="E76" t="s">
        <v>1630</v>
      </c>
      <c r="F76" t="s">
        <v>1631</v>
      </c>
      <c r="G76" t="s">
        <v>1630</v>
      </c>
      <c r="H76" t="s">
        <v>1631</v>
      </c>
      <c r="I76" t="s">
        <v>1631</v>
      </c>
      <c r="J76" t="s">
        <v>1630</v>
      </c>
      <c r="K76" t="s">
        <v>1630</v>
      </c>
      <c r="L76" t="s">
        <v>1632</v>
      </c>
      <c r="M76" t="s">
        <v>1630</v>
      </c>
      <c r="N76" t="s">
        <v>1631</v>
      </c>
      <c r="Q76" t="s">
        <v>1630</v>
      </c>
      <c r="R76" t="s">
        <v>1630</v>
      </c>
      <c r="S76" t="s">
        <v>1630</v>
      </c>
      <c r="T76" t="s">
        <v>1630</v>
      </c>
      <c r="U76" t="s">
        <v>1630</v>
      </c>
      <c r="V76" t="s">
        <v>1630</v>
      </c>
      <c r="W76" t="s">
        <v>1631</v>
      </c>
      <c r="X76" t="s">
        <v>1630</v>
      </c>
    </row>
    <row r="77" spans="1:24" x14ac:dyDescent="0.2">
      <c r="A77" s="140"/>
      <c r="B77">
        <v>113</v>
      </c>
      <c r="C77" t="s">
        <v>826</v>
      </c>
      <c r="D77" t="s">
        <v>827</v>
      </c>
      <c r="E77" t="s">
        <v>1630</v>
      </c>
      <c r="F77" t="s">
        <v>1630</v>
      </c>
      <c r="G77" t="s">
        <v>1630</v>
      </c>
      <c r="H77" t="s">
        <v>1630</v>
      </c>
      <c r="I77" t="s">
        <v>1630</v>
      </c>
      <c r="J77" t="s">
        <v>1630</v>
      </c>
      <c r="K77" t="s">
        <v>1630</v>
      </c>
      <c r="L77" t="s">
        <v>1631</v>
      </c>
      <c r="M77" t="s">
        <v>1631</v>
      </c>
      <c r="Q77" t="s">
        <v>1630</v>
      </c>
      <c r="R77" t="s">
        <v>1630</v>
      </c>
      <c r="S77" t="s">
        <v>1630</v>
      </c>
      <c r="T77" t="s">
        <v>1630</v>
      </c>
      <c r="U77" t="s">
        <v>1630</v>
      </c>
      <c r="V77" t="s">
        <v>1630</v>
      </c>
      <c r="W77" t="s">
        <v>1631</v>
      </c>
      <c r="X77" t="s">
        <v>1630</v>
      </c>
    </row>
    <row r="78" spans="1:24" s="75" customFormat="1" x14ac:dyDescent="0.2">
      <c r="A78" s="140"/>
      <c r="B78" s="80" t="s">
        <v>1633</v>
      </c>
      <c r="C78" s="75">
        <f>COUNT(B2:B77)</f>
        <v>76</v>
      </c>
      <c r="D78" s="75" t="s">
        <v>1634</v>
      </c>
      <c r="E78" s="75">
        <f>COUNTIF(E2:E77, "\gcheck")</f>
        <v>9</v>
      </c>
      <c r="F78" s="75">
        <f t="shared" ref="F78:X78" si="0">COUNTIF(F2:F77, "\gcheck")</f>
        <v>30</v>
      </c>
      <c r="G78" s="75">
        <f t="shared" si="0"/>
        <v>1</v>
      </c>
      <c r="H78" s="75">
        <f t="shared" si="0"/>
        <v>9</v>
      </c>
      <c r="I78" s="75">
        <f t="shared" si="0"/>
        <v>50</v>
      </c>
      <c r="J78" s="75">
        <f t="shared" si="0"/>
        <v>0</v>
      </c>
      <c r="K78" s="75">
        <f t="shared" si="0"/>
        <v>23</v>
      </c>
      <c r="L78" s="75">
        <f t="shared" si="0"/>
        <v>47</v>
      </c>
      <c r="M78" s="75">
        <f t="shared" si="0"/>
        <v>54</v>
      </c>
      <c r="N78" s="75">
        <f t="shared" si="0"/>
        <v>23</v>
      </c>
      <c r="O78" s="75">
        <f t="shared" si="0"/>
        <v>25</v>
      </c>
      <c r="P78" s="75">
        <f t="shared" si="0"/>
        <v>22</v>
      </c>
      <c r="Q78" s="75">
        <f t="shared" si="0"/>
        <v>12</v>
      </c>
      <c r="R78" s="75">
        <f t="shared" si="0"/>
        <v>5</v>
      </c>
      <c r="S78" s="75">
        <f t="shared" si="0"/>
        <v>5</v>
      </c>
      <c r="T78" s="75">
        <f t="shared" si="0"/>
        <v>15</v>
      </c>
      <c r="U78" s="75">
        <f t="shared" si="0"/>
        <v>4</v>
      </c>
      <c r="V78" s="75">
        <f t="shared" si="0"/>
        <v>29</v>
      </c>
      <c r="W78" s="75">
        <f t="shared" si="0"/>
        <v>32</v>
      </c>
      <c r="X78" s="75">
        <f t="shared" si="0"/>
        <v>19</v>
      </c>
    </row>
    <row r="79" spans="1:24" x14ac:dyDescent="0.2">
      <c r="A79" s="141"/>
      <c r="B79" s="81"/>
      <c r="D79" s="75" t="s">
        <v>1635</v>
      </c>
      <c r="E79" s="75">
        <f>ROUND(E78/$C$78*100, 2)</f>
        <v>11.84</v>
      </c>
      <c r="F79" s="75">
        <f t="shared" ref="F79:X79" si="1">ROUND(F78/$C$78*100, 2)</f>
        <v>39.47</v>
      </c>
      <c r="G79" s="75">
        <f t="shared" si="1"/>
        <v>1.32</v>
      </c>
      <c r="H79" s="75">
        <f t="shared" si="1"/>
        <v>11.84</v>
      </c>
      <c r="I79" s="75">
        <f t="shared" si="1"/>
        <v>65.790000000000006</v>
      </c>
      <c r="J79" s="75">
        <f t="shared" si="1"/>
        <v>0</v>
      </c>
      <c r="K79" s="75">
        <f t="shared" si="1"/>
        <v>30.26</v>
      </c>
      <c r="L79" s="75">
        <f t="shared" si="1"/>
        <v>61.84</v>
      </c>
      <c r="M79" s="75">
        <f t="shared" si="1"/>
        <v>71.05</v>
      </c>
      <c r="N79" s="75">
        <f t="shared" si="1"/>
        <v>30.26</v>
      </c>
      <c r="O79" s="75">
        <f t="shared" si="1"/>
        <v>32.89</v>
      </c>
      <c r="P79" s="75">
        <f t="shared" si="1"/>
        <v>28.95</v>
      </c>
      <c r="Q79" s="75">
        <f t="shared" si="1"/>
        <v>15.79</v>
      </c>
      <c r="R79" s="75">
        <f t="shared" si="1"/>
        <v>6.58</v>
      </c>
      <c r="S79" s="75">
        <f t="shared" si="1"/>
        <v>6.58</v>
      </c>
      <c r="T79" s="75">
        <f t="shared" si="1"/>
        <v>19.739999999999998</v>
      </c>
      <c r="U79" s="75">
        <f t="shared" si="1"/>
        <v>5.26</v>
      </c>
      <c r="V79" s="75">
        <f t="shared" si="1"/>
        <v>38.159999999999997</v>
      </c>
      <c r="W79" s="75">
        <f t="shared" si="1"/>
        <v>42.11</v>
      </c>
      <c r="X79" s="75">
        <f t="shared" si="1"/>
        <v>25</v>
      </c>
    </row>
    <row r="80" spans="1:24" ht="16" customHeight="1" x14ac:dyDescent="0.2">
      <c r="A80" s="142" t="s">
        <v>834</v>
      </c>
      <c r="B80" s="75">
        <v>26</v>
      </c>
      <c r="C80" s="75" t="s">
        <v>835</v>
      </c>
      <c r="D80" s="75" t="s">
        <v>836</v>
      </c>
      <c r="E80" s="75" t="s">
        <v>1630</v>
      </c>
      <c r="F80" s="75" t="s">
        <v>1631</v>
      </c>
      <c r="G80" s="75" t="s">
        <v>1630</v>
      </c>
      <c r="H80" s="75" t="s">
        <v>1631</v>
      </c>
      <c r="I80" s="75" t="s">
        <v>1631</v>
      </c>
      <c r="J80" s="75" t="s">
        <v>1630</v>
      </c>
      <c r="K80" s="75" t="s">
        <v>1630</v>
      </c>
      <c r="L80" s="75" t="s">
        <v>1630</v>
      </c>
      <c r="M80" s="75" t="s">
        <v>1631</v>
      </c>
      <c r="N80" s="75"/>
      <c r="O80" s="75" t="s">
        <v>1631</v>
      </c>
      <c r="P80" s="75"/>
      <c r="Q80" s="75" t="s">
        <v>1630</v>
      </c>
      <c r="R80" s="75" t="s">
        <v>1630</v>
      </c>
      <c r="S80" s="75" t="s">
        <v>1630</v>
      </c>
      <c r="T80" s="75" t="s">
        <v>1630</v>
      </c>
      <c r="U80" s="75" t="s">
        <v>1630</v>
      </c>
      <c r="V80" s="75" t="s">
        <v>1631</v>
      </c>
      <c r="W80" s="75" t="s">
        <v>1630</v>
      </c>
      <c r="X80" s="75" t="s">
        <v>1630</v>
      </c>
    </row>
    <row r="81" spans="1:24" x14ac:dyDescent="0.2">
      <c r="A81" s="140"/>
      <c r="B81">
        <v>122</v>
      </c>
      <c r="C81" t="s">
        <v>848</v>
      </c>
      <c r="D81" t="s">
        <v>849</v>
      </c>
      <c r="E81" t="s">
        <v>1630</v>
      </c>
      <c r="F81" t="s">
        <v>1630</v>
      </c>
      <c r="G81" t="s">
        <v>1630</v>
      </c>
      <c r="H81" t="s">
        <v>1630</v>
      </c>
      <c r="I81" t="s">
        <v>1631</v>
      </c>
      <c r="J81" t="s">
        <v>1630</v>
      </c>
      <c r="K81" t="s">
        <v>1631</v>
      </c>
      <c r="L81" t="s">
        <v>1632</v>
      </c>
      <c r="M81" t="s">
        <v>1631</v>
      </c>
      <c r="O81" t="s">
        <v>1631</v>
      </c>
      <c r="Q81" t="s">
        <v>1631</v>
      </c>
      <c r="R81" t="s">
        <v>1630</v>
      </c>
      <c r="S81" t="s">
        <v>1630</v>
      </c>
      <c r="T81" t="s">
        <v>1630</v>
      </c>
      <c r="U81" t="s">
        <v>1630</v>
      </c>
      <c r="V81" t="s">
        <v>1631</v>
      </c>
      <c r="W81" t="s">
        <v>1630</v>
      </c>
      <c r="X81" t="s">
        <v>1630</v>
      </c>
    </row>
    <row r="82" spans="1:24" x14ac:dyDescent="0.2">
      <c r="A82" s="140"/>
      <c r="B82">
        <v>2</v>
      </c>
      <c r="C82" t="s">
        <v>857</v>
      </c>
      <c r="D82" t="s">
        <v>858</v>
      </c>
      <c r="E82" t="s">
        <v>1631</v>
      </c>
      <c r="F82" t="s">
        <v>1631</v>
      </c>
      <c r="G82" t="s">
        <v>1630</v>
      </c>
      <c r="H82" t="s">
        <v>1630</v>
      </c>
      <c r="I82" t="s">
        <v>1631</v>
      </c>
      <c r="J82" t="s">
        <v>1630</v>
      </c>
      <c r="K82" t="s">
        <v>1632</v>
      </c>
      <c r="L82" t="s">
        <v>1630</v>
      </c>
      <c r="M82" t="s">
        <v>1630</v>
      </c>
      <c r="P82" t="s">
        <v>1631</v>
      </c>
      <c r="Q82" t="s">
        <v>1630</v>
      </c>
      <c r="R82" t="s">
        <v>1630</v>
      </c>
      <c r="S82" t="s">
        <v>1630</v>
      </c>
      <c r="T82" t="s">
        <v>1631</v>
      </c>
      <c r="U82" t="s">
        <v>1630</v>
      </c>
      <c r="V82" t="s">
        <v>1630</v>
      </c>
      <c r="W82" t="s">
        <v>1630</v>
      </c>
      <c r="X82" t="s">
        <v>1631</v>
      </c>
    </row>
    <row r="83" spans="1:24" x14ac:dyDescent="0.2">
      <c r="A83" s="140"/>
      <c r="B83">
        <v>95</v>
      </c>
      <c r="C83" t="s">
        <v>868</v>
      </c>
      <c r="D83" t="s">
        <v>869</v>
      </c>
      <c r="E83" t="s">
        <v>1630</v>
      </c>
      <c r="F83" t="s">
        <v>1630</v>
      </c>
      <c r="G83" t="s">
        <v>1630</v>
      </c>
      <c r="H83" t="s">
        <v>1630</v>
      </c>
      <c r="I83" t="s">
        <v>1630</v>
      </c>
      <c r="J83" t="s">
        <v>1630</v>
      </c>
      <c r="K83" t="s">
        <v>1630</v>
      </c>
      <c r="L83" t="s">
        <v>1631</v>
      </c>
      <c r="M83" t="s">
        <v>1631</v>
      </c>
      <c r="P83" t="s">
        <v>1631</v>
      </c>
      <c r="Q83" t="s">
        <v>1630</v>
      </c>
      <c r="R83" t="s">
        <v>1630</v>
      </c>
      <c r="S83" t="s">
        <v>1630</v>
      </c>
      <c r="T83" t="s">
        <v>1630</v>
      </c>
      <c r="U83" t="s">
        <v>1630</v>
      </c>
      <c r="V83" t="s">
        <v>1630</v>
      </c>
      <c r="W83" t="s">
        <v>1630</v>
      </c>
      <c r="X83" t="s">
        <v>1631</v>
      </c>
    </row>
    <row r="84" spans="1:24" x14ac:dyDescent="0.2">
      <c r="A84" s="140"/>
      <c r="B84">
        <v>110</v>
      </c>
      <c r="C84" t="s">
        <v>876</v>
      </c>
      <c r="D84" t="s">
        <v>877</v>
      </c>
      <c r="E84" t="s">
        <v>1631</v>
      </c>
      <c r="F84" t="s">
        <v>1631</v>
      </c>
      <c r="G84" t="s">
        <v>1630</v>
      </c>
      <c r="H84" t="s">
        <v>1630</v>
      </c>
      <c r="I84" t="s">
        <v>1631</v>
      </c>
      <c r="J84" t="s">
        <v>1631</v>
      </c>
      <c r="K84" t="s">
        <v>1631</v>
      </c>
      <c r="L84" t="s">
        <v>1631</v>
      </c>
      <c r="M84" t="s">
        <v>1630</v>
      </c>
      <c r="P84" t="s">
        <v>1631</v>
      </c>
      <c r="Q84" t="s">
        <v>1631</v>
      </c>
      <c r="R84" t="s">
        <v>1630</v>
      </c>
      <c r="S84" t="s">
        <v>1630</v>
      </c>
      <c r="T84" t="s">
        <v>1630</v>
      </c>
      <c r="U84" t="s">
        <v>1630</v>
      </c>
      <c r="V84" t="s">
        <v>1630</v>
      </c>
      <c r="W84" t="s">
        <v>1630</v>
      </c>
      <c r="X84" t="s">
        <v>1631</v>
      </c>
    </row>
    <row r="85" spans="1:24" x14ac:dyDescent="0.2">
      <c r="A85" s="140"/>
      <c r="B85" s="74">
        <v>67</v>
      </c>
      <c r="C85" s="74" t="s">
        <v>888</v>
      </c>
      <c r="D85" s="74" t="s">
        <v>889</v>
      </c>
      <c r="E85" s="74" t="s">
        <v>1630</v>
      </c>
      <c r="F85" s="74" t="s">
        <v>1630</v>
      </c>
      <c r="G85" s="74" t="s">
        <v>1630</v>
      </c>
      <c r="H85" s="74" t="s">
        <v>1630</v>
      </c>
      <c r="I85" s="74" t="s">
        <v>1631</v>
      </c>
      <c r="J85" s="74" t="s">
        <v>1630</v>
      </c>
      <c r="K85" s="74" t="s">
        <v>1631</v>
      </c>
      <c r="L85" s="74" t="s">
        <v>1630</v>
      </c>
      <c r="M85" s="74" t="s">
        <v>1630</v>
      </c>
      <c r="N85" t="s">
        <v>1631</v>
      </c>
      <c r="Q85" s="74" t="s">
        <v>1631</v>
      </c>
      <c r="R85" s="74" t="s">
        <v>1630</v>
      </c>
      <c r="S85" s="74" t="s">
        <v>1630</v>
      </c>
      <c r="T85" s="74" t="s">
        <v>1630</v>
      </c>
      <c r="U85" s="74" t="s">
        <v>1630</v>
      </c>
      <c r="V85" s="74" t="s">
        <v>1630</v>
      </c>
      <c r="W85" s="74" t="s">
        <v>1631</v>
      </c>
      <c r="X85" s="74" t="s">
        <v>1630</v>
      </c>
    </row>
    <row r="86" spans="1:24" x14ac:dyDescent="0.2">
      <c r="A86" s="140"/>
      <c r="B86" s="76" t="s">
        <v>1633</v>
      </c>
      <c r="C86" s="77">
        <f>COUNT(B80:B85)</f>
        <v>6</v>
      </c>
      <c r="D86" s="77" t="s">
        <v>1609</v>
      </c>
      <c r="E86" s="77">
        <f>COUNTIF(E80:E85, "\gcheck")</f>
        <v>2</v>
      </c>
      <c r="F86" s="77">
        <f>COUNTIF(F80:F85, "\gcheck")</f>
        <v>3</v>
      </c>
      <c r="G86" s="75">
        <f t="shared" ref="G86:X86" si="2">COUNTIF(G80:G85, "\gcheck")</f>
        <v>0</v>
      </c>
      <c r="H86" s="75">
        <f t="shared" si="2"/>
        <v>1</v>
      </c>
      <c r="I86" s="75">
        <f t="shared" si="2"/>
        <v>5</v>
      </c>
      <c r="J86" s="75">
        <f t="shared" si="2"/>
        <v>1</v>
      </c>
      <c r="K86" s="75">
        <f t="shared" si="2"/>
        <v>3</v>
      </c>
      <c r="L86" s="75">
        <f t="shared" si="2"/>
        <v>2</v>
      </c>
      <c r="M86" s="75">
        <f t="shared" si="2"/>
        <v>3</v>
      </c>
      <c r="N86" s="75">
        <f t="shared" si="2"/>
        <v>1</v>
      </c>
      <c r="O86" s="75">
        <f t="shared" si="2"/>
        <v>2</v>
      </c>
      <c r="P86" s="75">
        <f t="shared" si="2"/>
        <v>3</v>
      </c>
      <c r="Q86" s="75">
        <f t="shared" si="2"/>
        <v>3</v>
      </c>
      <c r="R86" s="75">
        <f t="shared" si="2"/>
        <v>0</v>
      </c>
      <c r="S86" s="75">
        <f t="shared" si="2"/>
        <v>0</v>
      </c>
      <c r="T86" s="75">
        <f t="shared" si="2"/>
        <v>1</v>
      </c>
      <c r="U86" s="75">
        <f t="shared" si="2"/>
        <v>0</v>
      </c>
      <c r="V86" s="75">
        <f t="shared" si="2"/>
        <v>2</v>
      </c>
      <c r="W86" s="75">
        <f t="shared" si="2"/>
        <v>1</v>
      </c>
      <c r="X86" s="75">
        <f t="shared" si="2"/>
        <v>3</v>
      </c>
    </row>
    <row r="87" spans="1:24" x14ac:dyDescent="0.2">
      <c r="A87" s="141"/>
      <c r="B87" s="76"/>
      <c r="D87" s="77" t="s">
        <v>1635</v>
      </c>
      <c r="E87">
        <f>ROUND(E86/$C$86*100,2)</f>
        <v>33.33</v>
      </c>
      <c r="F87">
        <f t="shared" ref="F87:X87" si="3">ROUND(F86/$C$86*100,2)</f>
        <v>50</v>
      </c>
      <c r="G87">
        <f t="shared" si="3"/>
        <v>0</v>
      </c>
      <c r="H87">
        <f t="shared" si="3"/>
        <v>16.670000000000002</v>
      </c>
      <c r="I87">
        <f t="shared" si="3"/>
        <v>83.33</v>
      </c>
      <c r="J87">
        <f t="shared" si="3"/>
        <v>16.670000000000002</v>
      </c>
      <c r="K87">
        <f t="shared" si="3"/>
        <v>50</v>
      </c>
      <c r="L87">
        <f t="shared" si="3"/>
        <v>33.33</v>
      </c>
      <c r="M87">
        <f t="shared" si="3"/>
        <v>50</v>
      </c>
      <c r="N87">
        <f t="shared" si="3"/>
        <v>16.670000000000002</v>
      </c>
      <c r="O87">
        <f t="shared" si="3"/>
        <v>33.33</v>
      </c>
      <c r="P87">
        <f t="shared" si="3"/>
        <v>50</v>
      </c>
      <c r="Q87">
        <f t="shared" si="3"/>
        <v>50</v>
      </c>
      <c r="R87">
        <f t="shared" si="3"/>
        <v>0</v>
      </c>
      <c r="S87">
        <f t="shared" si="3"/>
        <v>0</v>
      </c>
      <c r="T87">
        <f t="shared" si="3"/>
        <v>16.670000000000002</v>
      </c>
      <c r="U87">
        <f t="shared" si="3"/>
        <v>0</v>
      </c>
      <c r="V87">
        <f t="shared" si="3"/>
        <v>33.33</v>
      </c>
      <c r="W87">
        <f t="shared" si="3"/>
        <v>16.670000000000002</v>
      </c>
      <c r="X87">
        <f t="shared" si="3"/>
        <v>50</v>
      </c>
    </row>
    <row r="88" spans="1:24" ht="16" customHeight="1" x14ac:dyDescent="0.2">
      <c r="A88" s="143" t="s">
        <v>897</v>
      </c>
      <c r="B88" s="75">
        <v>22</v>
      </c>
      <c r="C88" s="75" t="s">
        <v>898</v>
      </c>
      <c r="D88" t="s">
        <v>899</v>
      </c>
      <c r="E88" s="75" t="s">
        <v>1630</v>
      </c>
      <c r="F88" s="75" t="s">
        <v>1631</v>
      </c>
      <c r="G88" s="75" t="s">
        <v>1630</v>
      </c>
      <c r="H88" s="75" t="s">
        <v>1630</v>
      </c>
      <c r="I88" s="75" t="s">
        <v>1631</v>
      </c>
      <c r="J88" s="75" t="s">
        <v>1630</v>
      </c>
      <c r="K88" s="75" t="s">
        <v>1630</v>
      </c>
      <c r="L88" s="75" t="s">
        <v>1630</v>
      </c>
      <c r="M88" s="75" t="s">
        <v>1631</v>
      </c>
      <c r="N88" s="75"/>
      <c r="O88" s="75"/>
      <c r="P88" s="75"/>
      <c r="Q88" s="75" t="s">
        <v>1630</v>
      </c>
      <c r="R88" s="75" t="s">
        <v>1630</v>
      </c>
      <c r="S88" s="75" t="s">
        <v>1630</v>
      </c>
      <c r="T88" s="75" t="s">
        <v>1630</v>
      </c>
      <c r="U88" s="75" t="s">
        <v>1631</v>
      </c>
      <c r="V88" s="75" t="s">
        <v>1631</v>
      </c>
      <c r="W88" s="75" t="s">
        <v>1630</v>
      </c>
      <c r="X88" s="75" t="s">
        <v>1630</v>
      </c>
    </row>
    <row r="89" spans="1:24" x14ac:dyDescent="0.2">
      <c r="A89" s="144"/>
      <c r="B89">
        <v>80</v>
      </c>
      <c r="C89" t="s">
        <v>907</v>
      </c>
      <c r="D89" t="s">
        <v>908</v>
      </c>
      <c r="E89" t="s">
        <v>1630</v>
      </c>
      <c r="F89" t="s">
        <v>1630</v>
      </c>
      <c r="G89" t="s">
        <v>1630</v>
      </c>
      <c r="H89" t="s">
        <v>1630</v>
      </c>
      <c r="I89" t="s">
        <v>1630</v>
      </c>
      <c r="J89" t="s">
        <v>1630</v>
      </c>
      <c r="K89" t="s">
        <v>1630</v>
      </c>
      <c r="L89" t="s">
        <v>1631</v>
      </c>
      <c r="M89" t="s">
        <v>1630</v>
      </c>
      <c r="P89" t="s">
        <v>1631</v>
      </c>
      <c r="Q89" t="s">
        <v>1630</v>
      </c>
      <c r="R89" t="s">
        <v>1630</v>
      </c>
      <c r="S89" t="s">
        <v>1630</v>
      </c>
      <c r="T89" t="s">
        <v>1631</v>
      </c>
      <c r="U89" t="s">
        <v>1630</v>
      </c>
      <c r="V89" t="s">
        <v>1630</v>
      </c>
      <c r="W89" t="s">
        <v>1630</v>
      </c>
      <c r="X89" t="s">
        <v>1631</v>
      </c>
    </row>
    <row r="90" spans="1:24" x14ac:dyDescent="0.2">
      <c r="A90" s="144"/>
      <c r="B90">
        <v>10</v>
      </c>
      <c r="C90" t="s">
        <v>916</v>
      </c>
      <c r="D90" t="s">
        <v>917</v>
      </c>
      <c r="E90" t="s">
        <v>1630</v>
      </c>
      <c r="F90" t="s">
        <v>1631</v>
      </c>
      <c r="G90" t="s">
        <v>1630</v>
      </c>
      <c r="H90" t="s">
        <v>1630</v>
      </c>
      <c r="I90" t="s">
        <v>1631</v>
      </c>
      <c r="J90" t="s">
        <v>1630</v>
      </c>
      <c r="K90" t="s">
        <v>1630</v>
      </c>
      <c r="L90" t="s">
        <v>1631</v>
      </c>
      <c r="M90" t="s">
        <v>1630</v>
      </c>
      <c r="O90" t="s">
        <v>1631</v>
      </c>
      <c r="P90" t="s">
        <v>1631</v>
      </c>
      <c r="Q90" t="s">
        <v>1630</v>
      </c>
      <c r="R90" t="s">
        <v>1631</v>
      </c>
      <c r="S90" t="s">
        <v>1630</v>
      </c>
      <c r="T90" t="s">
        <v>1630</v>
      </c>
      <c r="U90" t="s">
        <v>1630</v>
      </c>
      <c r="W90" t="s">
        <v>1630</v>
      </c>
      <c r="X90" t="s">
        <v>1631</v>
      </c>
    </row>
    <row r="91" spans="1:24" x14ac:dyDescent="0.2">
      <c r="A91" s="144"/>
      <c r="B91">
        <v>96</v>
      </c>
      <c r="C91" t="s">
        <v>928</v>
      </c>
      <c r="D91" t="s">
        <v>929</v>
      </c>
      <c r="E91" t="s">
        <v>1630</v>
      </c>
      <c r="F91" t="s">
        <v>1631</v>
      </c>
      <c r="G91" t="s">
        <v>1630</v>
      </c>
      <c r="H91" t="s">
        <v>1630</v>
      </c>
      <c r="I91" t="s">
        <v>1630</v>
      </c>
      <c r="J91" t="s">
        <v>1630</v>
      </c>
      <c r="K91" t="s">
        <v>1630</v>
      </c>
      <c r="L91" t="s">
        <v>1631</v>
      </c>
      <c r="M91" t="s">
        <v>1631</v>
      </c>
      <c r="P91" t="s">
        <v>1631</v>
      </c>
      <c r="Q91" t="s">
        <v>1631</v>
      </c>
      <c r="R91" t="s">
        <v>1630</v>
      </c>
      <c r="S91" t="s">
        <v>1630</v>
      </c>
      <c r="T91" t="s">
        <v>1630</v>
      </c>
      <c r="U91" t="s">
        <v>1630</v>
      </c>
      <c r="V91" t="s">
        <v>1630</v>
      </c>
      <c r="W91" t="s">
        <v>1630</v>
      </c>
      <c r="X91" t="s">
        <v>1631</v>
      </c>
    </row>
    <row r="92" spans="1:24" x14ac:dyDescent="0.2">
      <c r="A92" s="144"/>
      <c r="B92">
        <v>120</v>
      </c>
      <c r="C92" t="s">
        <v>937</v>
      </c>
      <c r="D92" t="s">
        <v>929</v>
      </c>
      <c r="E92" t="s">
        <v>1630</v>
      </c>
      <c r="F92" t="s">
        <v>1631</v>
      </c>
      <c r="G92" t="s">
        <v>1630</v>
      </c>
      <c r="H92" t="s">
        <v>1630</v>
      </c>
      <c r="I92" t="s">
        <v>1630</v>
      </c>
      <c r="J92" t="s">
        <v>1630</v>
      </c>
      <c r="K92" t="s">
        <v>1630</v>
      </c>
      <c r="L92" t="s">
        <v>1630</v>
      </c>
      <c r="M92" t="s">
        <v>1630</v>
      </c>
      <c r="P92" t="s">
        <v>1631</v>
      </c>
      <c r="Q92" t="s">
        <v>1630</v>
      </c>
      <c r="R92" t="s">
        <v>1630</v>
      </c>
      <c r="S92" t="s">
        <v>1630</v>
      </c>
      <c r="T92" t="s">
        <v>1630</v>
      </c>
      <c r="U92" t="s">
        <v>1630</v>
      </c>
      <c r="V92" t="s">
        <v>1631</v>
      </c>
      <c r="W92" t="s">
        <v>1630</v>
      </c>
      <c r="X92" t="s">
        <v>1630</v>
      </c>
    </row>
    <row r="93" spans="1:24" x14ac:dyDescent="0.2">
      <c r="A93" s="144"/>
      <c r="B93">
        <v>148</v>
      </c>
      <c r="C93" t="s">
        <v>942</v>
      </c>
      <c r="D93" t="s">
        <v>114</v>
      </c>
      <c r="E93" t="s">
        <v>1631</v>
      </c>
      <c r="F93" t="s">
        <v>1631</v>
      </c>
      <c r="G93" t="s">
        <v>1630</v>
      </c>
      <c r="H93" t="s">
        <v>1631</v>
      </c>
      <c r="I93" t="s">
        <v>1631</v>
      </c>
      <c r="J93" t="s">
        <v>1630</v>
      </c>
      <c r="K93" t="s">
        <v>1630</v>
      </c>
      <c r="L93" t="s">
        <v>1632</v>
      </c>
      <c r="M93" t="s">
        <v>1631</v>
      </c>
      <c r="P93" t="s">
        <v>1631</v>
      </c>
      <c r="Q93" t="s">
        <v>1631</v>
      </c>
      <c r="R93" t="s">
        <v>1630</v>
      </c>
      <c r="S93" t="s">
        <v>1630</v>
      </c>
      <c r="T93" t="s">
        <v>1630</v>
      </c>
      <c r="U93" t="s">
        <v>1630</v>
      </c>
      <c r="V93" t="s">
        <v>1631</v>
      </c>
      <c r="W93" t="s">
        <v>1630</v>
      </c>
      <c r="X93" t="s">
        <v>1630</v>
      </c>
    </row>
    <row r="94" spans="1:24" x14ac:dyDescent="0.2">
      <c r="A94" s="144"/>
      <c r="B94">
        <v>17</v>
      </c>
      <c r="C94" t="s">
        <v>954</v>
      </c>
      <c r="D94" t="s">
        <v>955</v>
      </c>
      <c r="E94" t="s">
        <v>1630</v>
      </c>
      <c r="F94" t="s">
        <v>1630</v>
      </c>
      <c r="G94" t="s">
        <v>1630</v>
      </c>
      <c r="H94" t="s">
        <v>1630</v>
      </c>
      <c r="I94" t="s">
        <v>1630</v>
      </c>
      <c r="J94" t="s">
        <v>1630</v>
      </c>
      <c r="K94" t="s">
        <v>1630</v>
      </c>
      <c r="L94" t="s">
        <v>1631</v>
      </c>
      <c r="M94" t="s">
        <v>1631</v>
      </c>
      <c r="O94" t="s">
        <v>1631</v>
      </c>
      <c r="Q94" t="s">
        <v>1630</v>
      </c>
      <c r="R94" t="s">
        <v>1630</v>
      </c>
      <c r="S94" t="s">
        <v>1631</v>
      </c>
      <c r="T94" t="s">
        <v>1630</v>
      </c>
      <c r="U94" t="s">
        <v>1630</v>
      </c>
      <c r="V94" t="s">
        <v>1630</v>
      </c>
      <c r="W94" t="s">
        <v>1631</v>
      </c>
      <c r="X94" t="s">
        <v>1630</v>
      </c>
    </row>
    <row r="95" spans="1:24" x14ac:dyDescent="0.2">
      <c r="A95" s="144"/>
      <c r="B95">
        <v>154</v>
      </c>
      <c r="C95" t="s">
        <v>962</v>
      </c>
      <c r="D95" t="s">
        <v>963</v>
      </c>
      <c r="E95" t="s">
        <v>1631</v>
      </c>
      <c r="F95" t="s">
        <v>1631</v>
      </c>
      <c r="G95" t="s">
        <v>1630</v>
      </c>
      <c r="H95" t="s">
        <v>1631</v>
      </c>
      <c r="I95" t="s">
        <v>1631</v>
      </c>
      <c r="J95" t="s">
        <v>1630</v>
      </c>
      <c r="K95" t="s">
        <v>1631</v>
      </c>
      <c r="L95" t="s">
        <v>1631</v>
      </c>
      <c r="M95" t="s">
        <v>1631</v>
      </c>
      <c r="O95" t="s">
        <v>1631</v>
      </c>
      <c r="Q95" t="s">
        <v>1630</v>
      </c>
      <c r="R95" t="s">
        <v>1630</v>
      </c>
      <c r="S95" t="s">
        <v>1630</v>
      </c>
      <c r="T95" t="s">
        <v>1630</v>
      </c>
      <c r="U95" t="s">
        <v>1631</v>
      </c>
      <c r="V95" t="s">
        <v>1631</v>
      </c>
      <c r="W95" t="s">
        <v>1630</v>
      </c>
      <c r="X95" t="s">
        <v>1630</v>
      </c>
    </row>
    <row r="96" spans="1:24" x14ac:dyDescent="0.2">
      <c r="A96" s="144"/>
      <c r="B96">
        <v>116</v>
      </c>
      <c r="C96" t="s">
        <v>973</v>
      </c>
      <c r="D96" t="s">
        <v>974</v>
      </c>
      <c r="E96" t="s">
        <v>1630</v>
      </c>
      <c r="F96" t="s">
        <v>1630</v>
      </c>
      <c r="G96" t="s">
        <v>1630</v>
      </c>
      <c r="H96" t="s">
        <v>1630</v>
      </c>
      <c r="I96" t="s">
        <v>1630</v>
      </c>
      <c r="J96" t="s">
        <v>1630</v>
      </c>
      <c r="K96" t="s">
        <v>1630</v>
      </c>
      <c r="L96" t="s">
        <v>1631</v>
      </c>
      <c r="M96" t="s">
        <v>1630</v>
      </c>
      <c r="O96" t="s">
        <v>1631</v>
      </c>
      <c r="Q96" t="s">
        <v>1631</v>
      </c>
      <c r="R96" t="s">
        <v>1630</v>
      </c>
      <c r="S96" t="s">
        <v>1630</v>
      </c>
      <c r="T96" t="s">
        <v>1630</v>
      </c>
      <c r="U96" t="s">
        <v>1630</v>
      </c>
      <c r="V96" t="s">
        <v>1631</v>
      </c>
      <c r="W96" t="s">
        <v>1630</v>
      </c>
      <c r="X96" t="s">
        <v>1630</v>
      </c>
    </row>
    <row r="97" spans="1:24" x14ac:dyDescent="0.2">
      <c r="A97" s="144"/>
      <c r="B97">
        <v>109</v>
      </c>
      <c r="C97" t="s">
        <v>985</v>
      </c>
      <c r="D97" t="s">
        <v>986</v>
      </c>
      <c r="E97" t="s">
        <v>1630</v>
      </c>
      <c r="F97" t="s">
        <v>1631</v>
      </c>
      <c r="G97" t="s">
        <v>1630</v>
      </c>
      <c r="H97" t="s">
        <v>1630</v>
      </c>
      <c r="I97" t="s">
        <v>1630</v>
      </c>
      <c r="J97" t="s">
        <v>1630</v>
      </c>
      <c r="K97" t="s">
        <v>1630</v>
      </c>
      <c r="L97" t="s">
        <v>1631</v>
      </c>
      <c r="M97" t="s">
        <v>1630</v>
      </c>
      <c r="P97" t="s">
        <v>1631</v>
      </c>
      <c r="Q97" t="s">
        <v>1630</v>
      </c>
      <c r="R97" t="s">
        <v>1630</v>
      </c>
      <c r="S97" t="s">
        <v>1630</v>
      </c>
      <c r="T97" t="s">
        <v>1631</v>
      </c>
      <c r="U97" t="s">
        <v>1630</v>
      </c>
      <c r="V97" t="s">
        <v>1630</v>
      </c>
      <c r="W97" t="s">
        <v>1630</v>
      </c>
      <c r="X97" t="s">
        <v>1631</v>
      </c>
    </row>
    <row r="98" spans="1:24" x14ac:dyDescent="0.2">
      <c r="A98" s="144"/>
      <c r="B98">
        <v>34</v>
      </c>
      <c r="C98" t="s">
        <v>1636</v>
      </c>
      <c r="D98" t="s">
        <v>994</v>
      </c>
      <c r="E98" t="s">
        <v>1630</v>
      </c>
      <c r="F98" t="s">
        <v>1630</v>
      </c>
      <c r="G98" t="s">
        <v>1630</v>
      </c>
      <c r="H98" t="s">
        <v>1630</v>
      </c>
      <c r="I98" t="s">
        <v>1630</v>
      </c>
      <c r="J98" t="s">
        <v>1630</v>
      </c>
      <c r="K98" t="s">
        <v>1630</v>
      </c>
      <c r="L98" t="s">
        <v>1630</v>
      </c>
      <c r="M98" t="s">
        <v>1630</v>
      </c>
      <c r="O98" t="s">
        <v>1631</v>
      </c>
      <c r="Q98" t="s">
        <v>1630</v>
      </c>
      <c r="R98" t="s">
        <v>1630</v>
      </c>
      <c r="S98" t="s">
        <v>1630</v>
      </c>
      <c r="T98" t="s">
        <v>1631</v>
      </c>
      <c r="U98" t="s">
        <v>1630</v>
      </c>
      <c r="V98" t="s">
        <v>1630</v>
      </c>
      <c r="W98" t="s">
        <v>1630</v>
      </c>
      <c r="X98" t="s">
        <v>1631</v>
      </c>
    </row>
    <row r="99" spans="1:24" x14ac:dyDescent="0.2">
      <c r="A99" s="144"/>
      <c r="B99">
        <v>69</v>
      </c>
      <c r="C99" t="s">
        <v>1001</v>
      </c>
      <c r="D99" t="s">
        <v>1002</v>
      </c>
      <c r="E99" t="s">
        <v>1630</v>
      </c>
      <c r="F99" t="s">
        <v>1631</v>
      </c>
      <c r="G99" t="s">
        <v>1630</v>
      </c>
      <c r="H99" t="s">
        <v>1630</v>
      </c>
      <c r="I99" t="s">
        <v>1630</v>
      </c>
      <c r="J99" t="s">
        <v>1630</v>
      </c>
      <c r="K99" t="s">
        <v>1630</v>
      </c>
      <c r="L99" t="s">
        <v>1631</v>
      </c>
      <c r="M99" t="s">
        <v>1631</v>
      </c>
      <c r="P99" t="s">
        <v>1631</v>
      </c>
      <c r="Q99" t="s">
        <v>1630</v>
      </c>
      <c r="R99" t="s">
        <v>1630</v>
      </c>
      <c r="S99" t="s">
        <v>1630</v>
      </c>
      <c r="T99" t="s">
        <v>1631</v>
      </c>
      <c r="U99" t="s">
        <v>1630</v>
      </c>
      <c r="W99" t="s">
        <v>1631</v>
      </c>
      <c r="X99" t="s">
        <v>1630</v>
      </c>
    </row>
    <row r="100" spans="1:24" x14ac:dyDescent="0.2">
      <c r="A100" s="144"/>
      <c r="B100">
        <v>137</v>
      </c>
      <c r="C100" t="s">
        <v>1008</v>
      </c>
      <c r="D100" t="s">
        <v>858</v>
      </c>
      <c r="E100" t="s">
        <v>1631</v>
      </c>
      <c r="F100" t="s">
        <v>1631</v>
      </c>
      <c r="G100" t="s">
        <v>1630</v>
      </c>
      <c r="H100" t="s">
        <v>1631</v>
      </c>
      <c r="I100" t="s">
        <v>1631</v>
      </c>
      <c r="J100" t="s">
        <v>1630</v>
      </c>
      <c r="K100" t="s">
        <v>1630</v>
      </c>
      <c r="L100" t="s">
        <v>1631</v>
      </c>
      <c r="M100" t="s">
        <v>1630</v>
      </c>
      <c r="P100" t="s">
        <v>1631</v>
      </c>
      <c r="Q100" t="s">
        <v>1630</v>
      </c>
      <c r="R100" t="s">
        <v>1630</v>
      </c>
      <c r="S100" t="s">
        <v>1630</v>
      </c>
      <c r="T100" t="s">
        <v>1631</v>
      </c>
      <c r="U100" t="s">
        <v>1630</v>
      </c>
      <c r="W100" t="s">
        <v>1630</v>
      </c>
      <c r="X100" t="s">
        <v>1631</v>
      </c>
    </row>
    <row r="101" spans="1:24" x14ac:dyDescent="0.2">
      <c r="A101" s="144"/>
      <c r="B101">
        <v>101</v>
      </c>
      <c r="C101" t="s">
        <v>1020</v>
      </c>
      <c r="D101" t="s">
        <v>549</v>
      </c>
      <c r="E101" t="s">
        <v>1630</v>
      </c>
      <c r="F101" t="s">
        <v>1630</v>
      </c>
      <c r="G101" t="s">
        <v>1630</v>
      </c>
      <c r="H101" t="s">
        <v>1630</v>
      </c>
      <c r="I101" t="s">
        <v>1631</v>
      </c>
      <c r="K101" t="s">
        <v>1630</v>
      </c>
      <c r="L101" t="s">
        <v>1630</v>
      </c>
      <c r="M101" t="s">
        <v>1630</v>
      </c>
      <c r="O101" t="s">
        <v>1631</v>
      </c>
      <c r="Q101" t="s">
        <v>1630</v>
      </c>
      <c r="R101" t="s">
        <v>1630</v>
      </c>
      <c r="S101" t="s">
        <v>1630</v>
      </c>
      <c r="T101" t="s">
        <v>1630</v>
      </c>
      <c r="U101" t="s">
        <v>1630</v>
      </c>
      <c r="V101" t="s">
        <v>1630</v>
      </c>
      <c r="W101" t="s">
        <v>1630</v>
      </c>
      <c r="X101" t="s">
        <v>1631</v>
      </c>
    </row>
    <row r="102" spans="1:24" x14ac:dyDescent="0.2">
      <c r="A102" s="144"/>
      <c r="B102">
        <v>65</v>
      </c>
      <c r="C102" t="s">
        <v>1029</v>
      </c>
      <c r="D102" t="s">
        <v>1030</v>
      </c>
      <c r="E102" t="s">
        <v>1630</v>
      </c>
      <c r="F102" t="s">
        <v>1630</v>
      </c>
      <c r="G102" t="s">
        <v>1630</v>
      </c>
      <c r="H102" t="s">
        <v>1630</v>
      </c>
      <c r="I102" t="s">
        <v>1631</v>
      </c>
      <c r="J102" t="s">
        <v>1630</v>
      </c>
      <c r="K102" t="s">
        <v>1630</v>
      </c>
      <c r="L102" t="s">
        <v>1631</v>
      </c>
      <c r="M102" t="s">
        <v>1631</v>
      </c>
      <c r="N102" t="s">
        <v>1631</v>
      </c>
      <c r="Q102" t="s">
        <v>1630</v>
      </c>
      <c r="R102" t="s">
        <v>1630</v>
      </c>
      <c r="S102" t="s">
        <v>1630</v>
      </c>
      <c r="T102" t="s">
        <v>1630</v>
      </c>
      <c r="U102" t="s">
        <v>1630</v>
      </c>
      <c r="V102" t="s">
        <v>1630</v>
      </c>
      <c r="W102" t="s">
        <v>1630</v>
      </c>
      <c r="X102" t="s">
        <v>1631</v>
      </c>
    </row>
    <row r="103" spans="1:24" x14ac:dyDescent="0.2">
      <c r="A103" s="144"/>
      <c r="B103">
        <v>55</v>
      </c>
      <c r="C103" t="s">
        <v>1038</v>
      </c>
      <c r="D103" t="s">
        <v>1039</v>
      </c>
      <c r="E103" t="s">
        <v>1630</v>
      </c>
      <c r="F103" t="s">
        <v>1631</v>
      </c>
      <c r="G103" t="s">
        <v>1630</v>
      </c>
      <c r="H103" t="s">
        <v>1630</v>
      </c>
      <c r="I103" t="s">
        <v>1630</v>
      </c>
      <c r="J103" t="s">
        <v>1630</v>
      </c>
      <c r="K103" t="s">
        <v>1630</v>
      </c>
      <c r="L103" t="s">
        <v>1631</v>
      </c>
      <c r="M103" t="s">
        <v>1631</v>
      </c>
      <c r="O103" t="s">
        <v>1631</v>
      </c>
      <c r="Q103" t="s">
        <v>1630</v>
      </c>
      <c r="R103" t="s">
        <v>1630</v>
      </c>
      <c r="S103" t="s">
        <v>1630</v>
      </c>
      <c r="T103" t="s">
        <v>1630</v>
      </c>
      <c r="U103" t="s">
        <v>1630</v>
      </c>
      <c r="V103" t="s">
        <v>1630</v>
      </c>
      <c r="W103" t="s">
        <v>1631</v>
      </c>
      <c r="X103" t="s">
        <v>1630</v>
      </c>
    </row>
    <row r="104" spans="1:24" x14ac:dyDescent="0.2">
      <c r="A104" s="144"/>
      <c r="B104">
        <v>146</v>
      </c>
      <c r="C104" t="s">
        <v>1047</v>
      </c>
      <c r="D104" t="s">
        <v>1048</v>
      </c>
      <c r="E104" t="s">
        <v>1631</v>
      </c>
      <c r="F104" t="s">
        <v>1631</v>
      </c>
      <c r="G104" t="s">
        <v>1631</v>
      </c>
      <c r="H104" t="s">
        <v>1631</v>
      </c>
      <c r="I104" t="s">
        <v>1631</v>
      </c>
      <c r="J104" t="s">
        <v>1632</v>
      </c>
      <c r="K104" t="s">
        <v>1632</v>
      </c>
      <c r="L104" t="s">
        <v>1631</v>
      </c>
      <c r="M104" t="s">
        <v>1630</v>
      </c>
      <c r="P104" t="s">
        <v>1631</v>
      </c>
      <c r="Q104" t="s">
        <v>1630</v>
      </c>
      <c r="R104" t="s">
        <v>1630</v>
      </c>
      <c r="S104" t="s">
        <v>1631</v>
      </c>
      <c r="T104" t="s">
        <v>1630</v>
      </c>
      <c r="U104" t="s">
        <v>1630</v>
      </c>
      <c r="V104" t="s">
        <v>1631</v>
      </c>
      <c r="W104" t="s">
        <v>1631</v>
      </c>
      <c r="X104" t="s">
        <v>1631</v>
      </c>
    </row>
    <row r="105" spans="1:24" x14ac:dyDescent="0.2">
      <c r="A105" s="144"/>
      <c r="B105">
        <v>56</v>
      </c>
      <c r="C105" t="s">
        <v>1065</v>
      </c>
      <c r="D105" t="s">
        <v>1066</v>
      </c>
      <c r="E105" t="s">
        <v>1630</v>
      </c>
      <c r="F105" t="s">
        <v>1630</v>
      </c>
      <c r="G105" t="s">
        <v>1630</v>
      </c>
      <c r="H105" t="s">
        <v>1630</v>
      </c>
      <c r="I105" t="s">
        <v>1631</v>
      </c>
      <c r="J105" t="s">
        <v>1630</v>
      </c>
      <c r="K105" t="s">
        <v>1630</v>
      </c>
      <c r="L105" t="s">
        <v>1631</v>
      </c>
      <c r="M105" t="s">
        <v>1631</v>
      </c>
      <c r="P105" t="s">
        <v>1631</v>
      </c>
      <c r="Q105" t="s">
        <v>1630</v>
      </c>
      <c r="R105" t="s">
        <v>1630</v>
      </c>
      <c r="S105" t="s">
        <v>1630</v>
      </c>
      <c r="T105" t="s">
        <v>1630</v>
      </c>
      <c r="U105" t="s">
        <v>1631</v>
      </c>
      <c r="V105" t="s">
        <v>1630</v>
      </c>
      <c r="W105" t="s">
        <v>1631</v>
      </c>
      <c r="X105" t="s">
        <v>1630</v>
      </c>
    </row>
    <row r="106" spans="1:24" x14ac:dyDescent="0.2">
      <c r="A106" s="144"/>
      <c r="B106">
        <v>73</v>
      </c>
      <c r="C106" t="s">
        <v>1073</v>
      </c>
      <c r="D106" t="s">
        <v>1074</v>
      </c>
      <c r="E106" t="s">
        <v>1630</v>
      </c>
      <c r="F106" t="s">
        <v>1630</v>
      </c>
      <c r="G106" t="s">
        <v>1630</v>
      </c>
      <c r="H106" t="s">
        <v>1630</v>
      </c>
      <c r="I106" t="s">
        <v>1631</v>
      </c>
      <c r="J106" t="s">
        <v>1630</v>
      </c>
      <c r="K106" t="s">
        <v>1631</v>
      </c>
      <c r="L106" t="s">
        <v>1631</v>
      </c>
      <c r="M106" t="s">
        <v>1631</v>
      </c>
      <c r="P106" t="s">
        <v>1631</v>
      </c>
      <c r="Q106" t="s">
        <v>1630</v>
      </c>
      <c r="R106" t="s">
        <v>1630</v>
      </c>
      <c r="S106" t="s">
        <v>1630</v>
      </c>
      <c r="T106" t="s">
        <v>1631</v>
      </c>
      <c r="U106" t="s">
        <v>1630</v>
      </c>
      <c r="W106" t="s">
        <v>1630</v>
      </c>
      <c r="X106" t="s">
        <v>1631</v>
      </c>
    </row>
    <row r="107" spans="1:24" x14ac:dyDescent="0.2">
      <c r="A107" s="144"/>
      <c r="B107">
        <v>117</v>
      </c>
      <c r="C107" t="s">
        <v>1082</v>
      </c>
      <c r="D107" t="s">
        <v>1083</v>
      </c>
      <c r="E107" t="s">
        <v>1631</v>
      </c>
      <c r="F107" t="s">
        <v>1631</v>
      </c>
      <c r="G107" t="s">
        <v>1630</v>
      </c>
      <c r="H107" t="s">
        <v>1630</v>
      </c>
      <c r="I107" t="s">
        <v>1632</v>
      </c>
      <c r="J107" t="s">
        <v>1630</v>
      </c>
      <c r="K107" t="s">
        <v>1630</v>
      </c>
      <c r="L107" t="s">
        <v>1631</v>
      </c>
      <c r="M107" t="s">
        <v>1631</v>
      </c>
      <c r="O107" t="s">
        <v>1631</v>
      </c>
      <c r="Q107" t="s">
        <v>1630</v>
      </c>
      <c r="R107" t="s">
        <v>1630</v>
      </c>
      <c r="S107" t="s">
        <v>1630</v>
      </c>
      <c r="T107" t="s">
        <v>1631</v>
      </c>
      <c r="U107" t="s">
        <v>1630</v>
      </c>
      <c r="V107" t="s">
        <v>1631</v>
      </c>
      <c r="W107" t="s">
        <v>1630</v>
      </c>
      <c r="X107" t="s">
        <v>1630</v>
      </c>
    </row>
    <row r="108" spans="1:24" x14ac:dyDescent="0.2">
      <c r="A108" s="144"/>
      <c r="B108">
        <v>123</v>
      </c>
      <c r="C108" t="s">
        <v>1097</v>
      </c>
      <c r="D108" t="s">
        <v>1098</v>
      </c>
      <c r="E108" t="s">
        <v>1631</v>
      </c>
      <c r="F108" t="s">
        <v>1631</v>
      </c>
      <c r="G108" t="s">
        <v>1630</v>
      </c>
      <c r="H108" t="s">
        <v>1631</v>
      </c>
      <c r="I108" t="s">
        <v>1632</v>
      </c>
      <c r="J108" t="s">
        <v>1630</v>
      </c>
      <c r="K108" t="s">
        <v>1630</v>
      </c>
      <c r="L108" t="s">
        <v>1632</v>
      </c>
      <c r="M108" t="s">
        <v>1630</v>
      </c>
      <c r="P108" t="s">
        <v>1631</v>
      </c>
      <c r="Q108" t="s">
        <v>1630</v>
      </c>
      <c r="R108" t="s">
        <v>1630</v>
      </c>
      <c r="S108" t="s">
        <v>1630</v>
      </c>
      <c r="T108" t="s">
        <v>1630</v>
      </c>
      <c r="U108" t="s">
        <v>1631</v>
      </c>
      <c r="V108" t="s">
        <v>1631</v>
      </c>
      <c r="W108" t="s">
        <v>1630</v>
      </c>
      <c r="X108" t="s">
        <v>1630</v>
      </c>
    </row>
    <row r="109" spans="1:24" x14ac:dyDescent="0.2">
      <c r="A109" s="144"/>
      <c r="B109">
        <v>131</v>
      </c>
      <c r="C109" t="s">
        <v>1111</v>
      </c>
      <c r="D109" t="s">
        <v>1112</v>
      </c>
      <c r="E109" t="s">
        <v>1630</v>
      </c>
      <c r="F109" t="s">
        <v>1631</v>
      </c>
      <c r="G109" t="s">
        <v>1630</v>
      </c>
      <c r="H109" t="s">
        <v>1632</v>
      </c>
      <c r="I109" t="s">
        <v>1630</v>
      </c>
      <c r="J109" t="s">
        <v>1630</v>
      </c>
      <c r="K109" t="s">
        <v>1630</v>
      </c>
      <c r="L109" t="s">
        <v>1631</v>
      </c>
      <c r="M109" t="s">
        <v>1630</v>
      </c>
      <c r="O109" t="s">
        <v>1631</v>
      </c>
      <c r="Q109" t="s">
        <v>1630</v>
      </c>
      <c r="R109" t="s">
        <v>1631</v>
      </c>
      <c r="S109" t="s">
        <v>1630</v>
      </c>
      <c r="T109" t="s">
        <v>1630</v>
      </c>
      <c r="U109" t="s">
        <v>1630</v>
      </c>
      <c r="W109" t="s">
        <v>1631</v>
      </c>
      <c r="X109" t="s">
        <v>1630</v>
      </c>
    </row>
    <row r="110" spans="1:24" x14ac:dyDescent="0.2">
      <c r="A110" s="144"/>
      <c r="B110">
        <v>40</v>
      </c>
      <c r="C110" t="s">
        <v>1125</v>
      </c>
      <c r="D110" t="s">
        <v>1126</v>
      </c>
      <c r="E110" t="s">
        <v>1630</v>
      </c>
      <c r="F110" t="s">
        <v>1630</v>
      </c>
      <c r="G110" t="s">
        <v>1630</v>
      </c>
      <c r="H110" t="s">
        <v>1630</v>
      </c>
      <c r="I110" t="s">
        <v>1630</v>
      </c>
      <c r="J110" t="s">
        <v>1630</v>
      </c>
      <c r="K110" t="s">
        <v>1630</v>
      </c>
      <c r="L110" t="s">
        <v>1630</v>
      </c>
      <c r="M110" t="s">
        <v>1631</v>
      </c>
      <c r="O110" t="s">
        <v>1631</v>
      </c>
      <c r="P110" t="s">
        <v>1631</v>
      </c>
      <c r="Q110" t="s">
        <v>1630</v>
      </c>
      <c r="R110" t="s">
        <v>1630</v>
      </c>
      <c r="S110" t="s">
        <v>1630</v>
      </c>
      <c r="T110" t="s">
        <v>1631</v>
      </c>
      <c r="U110" t="s">
        <v>1630</v>
      </c>
      <c r="V110" t="s">
        <v>1631</v>
      </c>
      <c r="W110" t="s">
        <v>1630</v>
      </c>
      <c r="X110" t="s">
        <v>1630</v>
      </c>
    </row>
    <row r="111" spans="1:24" x14ac:dyDescent="0.2">
      <c r="A111" s="144"/>
      <c r="B111" s="74">
        <v>133</v>
      </c>
      <c r="C111" s="74" t="s">
        <v>1133</v>
      </c>
      <c r="D111" s="74" t="s">
        <v>1134</v>
      </c>
      <c r="E111" s="74" t="s">
        <v>1630</v>
      </c>
      <c r="F111" s="74" t="s">
        <v>1631</v>
      </c>
      <c r="G111" s="74" t="s">
        <v>1630</v>
      </c>
      <c r="H111" s="74" t="s">
        <v>1630</v>
      </c>
      <c r="I111" s="74" t="s">
        <v>1630</v>
      </c>
      <c r="J111" s="74" t="s">
        <v>1630</v>
      </c>
      <c r="K111" s="74" t="s">
        <v>1630</v>
      </c>
      <c r="L111" s="74" t="s">
        <v>1631</v>
      </c>
      <c r="M111" s="74" t="s">
        <v>1631</v>
      </c>
      <c r="O111" t="s">
        <v>1631</v>
      </c>
      <c r="Q111" s="74" t="s">
        <v>1630</v>
      </c>
      <c r="R111" s="74" t="s">
        <v>1630</v>
      </c>
      <c r="S111" s="74" t="s">
        <v>1630</v>
      </c>
      <c r="T111" s="74" t="s">
        <v>1630</v>
      </c>
      <c r="U111" s="74" t="s">
        <v>1631</v>
      </c>
      <c r="V111" s="74"/>
      <c r="W111" s="74" t="s">
        <v>1630</v>
      </c>
      <c r="X111" s="74" t="s">
        <v>1631</v>
      </c>
    </row>
    <row r="112" spans="1:24" x14ac:dyDescent="0.2">
      <c r="A112" s="144"/>
      <c r="B112" t="s">
        <v>1637</v>
      </c>
      <c r="C112">
        <f>COUNT(B88:B111)</f>
        <v>24</v>
      </c>
      <c r="D112" s="77" t="s">
        <v>1609</v>
      </c>
      <c r="E112" s="75">
        <f>COUNTIF(E88:E111, "\gcheck")</f>
        <v>6</v>
      </c>
      <c r="F112" s="75">
        <f t="shared" ref="F112:X112" si="4">COUNTIF(F88:F111, "\gcheck")</f>
        <v>15</v>
      </c>
      <c r="G112" s="75">
        <f t="shared" si="4"/>
        <v>1</v>
      </c>
      <c r="H112" s="75">
        <f t="shared" si="4"/>
        <v>5</v>
      </c>
      <c r="I112" s="75">
        <f t="shared" si="4"/>
        <v>10</v>
      </c>
      <c r="J112" s="75">
        <f t="shared" si="4"/>
        <v>0</v>
      </c>
      <c r="K112" s="75">
        <f t="shared" si="4"/>
        <v>2</v>
      </c>
      <c r="L112" s="75">
        <f t="shared" si="4"/>
        <v>17</v>
      </c>
      <c r="M112" s="75">
        <f t="shared" si="4"/>
        <v>13</v>
      </c>
      <c r="N112" s="75">
        <f t="shared" si="4"/>
        <v>1</v>
      </c>
      <c r="O112" s="75">
        <f t="shared" si="4"/>
        <v>11</v>
      </c>
      <c r="P112" s="75">
        <f t="shared" si="4"/>
        <v>13</v>
      </c>
      <c r="Q112" s="75">
        <f t="shared" si="4"/>
        <v>3</v>
      </c>
      <c r="R112" s="75">
        <f t="shared" si="4"/>
        <v>2</v>
      </c>
      <c r="S112" s="75">
        <f t="shared" si="4"/>
        <v>2</v>
      </c>
      <c r="T112" s="75">
        <f t="shared" si="4"/>
        <v>8</v>
      </c>
      <c r="U112" s="75">
        <f t="shared" si="4"/>
        <v>5</v>
      </c>
      <c r="V112" s="75">
        <f t="shared" si="4"/>
        <v>9</v>
      </c>
      <c r="W112" s="75">
        <f t="shared" si="4"/>
        <v>6</v>
      </c>
      <c r="X112" s="75">
        <f t="shared" si="4"/>
        <v>11</v>
      </c>
    </row>
    <row r="113" spans="1:25" x14ac:dyDescent="0.2">
      <c r="A113" s="145"/>
      <c r="D113" s="77" t="s">
        <v>1635</v>
      </c>
      <c r="E113" s="75">
        <f>ROUND(E112/$C$112*100,2)</f>
        <v>25</v>
      </c>
      <c r="F113" s="75">
        <f t="shared" ref="F113:X113" si="5">ROUND(F112/$C$112*100,2)</f>
        <v>62.5</v>
      </c>
      <c r="G113" s="75">
        <f t="shared" si="5"/>
        <v>4.17</v>
      </c>
      <c r="H113" s="75">
        <f t="shared" si="5"/>
        <v>20.83</v>
      </c>
      <c r="I113" s="75">
        <f t="shared" si="5"/>
        <v>41.67</v>
      </c>
      <c r="J113" s="75">
        <f t="shared" si="5"/>
        <v>0</v>
      </c>
      <c r="K113" s="75">
        <f t="shared" si="5"/>
        <v>8.33</v>
      </c>
      <c r="L113" s="75">
        <f t="shared" si="5"/>
        <v>70.83</v>
      </c>
      <c r="M113" s="75">
        <f t="shared" si="5"/>
        <v>54.17</v>
      </c>
      <c r="N113" s="75">
        <f t="shared" si="5"/>
        <v>4.17</v>
      </c>
      <c r="O113" s="75">
        <f t="shared" si="5"/>
        <v>45.83</v>
      </c>
      <c r="P113" s="75">
        <f t="shared" si="5"/>
        <v>54.17</v>
      </c>
      <c r="Q113" s="75">
        <f t="shared" si="5"/>
        <v>12.5</v>
      </c>
      <c r="R113" s="75">
        <f t="shared" si="5"/>
        <v>8.33</v>
      </c>
      <c r="S113" s="75">
        <f t="shared" si="5"/>
        <v>8.33</v>
      </c>
      <c r="T113" s="75">
        <f t="shared" si="5"/>
        <v>33.33</v>
      </c>
      <c r="U113" s="75">
        <f t="shared" si="5"/>
        <v>20.83</v>
      </c>
      <c r="V113" s="75">
        <f t="shared" si="5"/>
        <v>37.5</v>
      </c>
      <c r="W113" s="75">
        <f t="shared" si="5"/>
        <v>25</v>
      </c>
      <c r="X113" s="75">
        <f t="shared" si="5"/>
        <v>45.83</v>
      </c>
    </row>
    <row r="114" spans="1:25" ht="16" customHeight="1" x14ac:dyDescent="0.2">
      <c r="A114" s="142" t="s">
        <v>1145</v>
      </c>
      <c r="B114" s="75">
        <v>4</v>
      </c>
      <c r="C114" s="75" t="s">
        <v>1146</v>
      </c>
      <c r="D114" t="s">
        <v>1147</v>
      </c>
      <c r="E114" s="75" t="s">
        <v>1630</v>
      </c>
      <c r="F114" s="75" t="s">
        <v>1630</v>
      </c>
      <c r="G114" s="75" t="s">
        <v>1630</v>
      </c>
      <c r="H114" s="75" t="s">
        <v>1630</v>
      </c>
      <c r="I114" s="75" t="s">
        <v>1631</v>
      </c>
      <c r="J114" s="75" t="s">
        <v>1630</v>
      </c>
      <c r="K114" s="75" t="s">
        <v>1630</v>
      </c>
      <c r="L114" s="75" t="s">
        <v>1630</v>
      </c>
      <c r="M114" s="75" t="s">
        <v>1631</v>
      </c>
      <c r="N114" s="75"/>
      <c r="O114" s="75" t="s">
        <v>1631</v>
      </c>
      <c r="P114" s="75"/>
      <c r="Q114" s="75" t="s">
        <v>1630</v>
      </c>
      <c r="R114" s="75" t="s">
        <v>1630</v>
      </c>
      <c r="S114" s="75" t="s">
        <v>1630</v>
      </c>
      <c r="T114" s="75" t="s">
        <v>1630</v>
      </c>
      <c r="U114" s="75" t="s">
        <v>1630</v>
      </c>
      <c r="V114" s="75" t="s">
        <v>1631</v>
      </c>
      <c r="W114" s="75" t="s">
        <v>1630</v>
      </c>
      <c r="X114" s="75" t="s">
        <v>1630</v>
      </c>
    </row>
    <row r="115" spans="1:25" x14ac:dyDescent="0.2">
      <c r="A115" s="140"/>
      <c r="B115">
        <v>71</v>
      </c>
      <c r="C115" t="s">
        <v>1153</v>
      </c>
      <c r="D115" t="s">
        <v>1154</v>
      </c>
      <c r="E115" t="s">
        <v>1630</v>
      </c>
      <c r="F115" t="s">
        <v>1630</v>
      </c>
      <c r="G115" t="s">
        <v>1630</v>
      </c>
      <c r="H115" t="s">
        <v>1630</v>
      </c>
      <c r="I115" t="s">
        <v>1632</v>
      </c>
      <c r="J115" t="s">
        <v>1630</v>
      </c>
      <c r="K115" t="s">
        <v>1631</v>
      </c>
      <c r="L115" t="s">
        <v>1630</v>
      </c>
      <c r="M115" t="s">
        <v>1631</v>
      </c>
      <c r="O115" t="s">
        <v>1631</v>
      </c>
      <c r="Q115" t="s">
        <v>1631</v>
      </c>
      <c r="R115" t="s">
        <v>1630</v>
      </c>
      <c r="S115" t="s">
        <v>1630</v>
      </c>
      <c r="T115" t="s">
        <v>1631</v>
      </c>
      <c r="U115" t="s">
        <v>1631</v>
      </c>
      <c r="W115" t="s">
        <v>1631</v>
      </c>
      <c r="X115" t="s">
        <v>1631</v>
      </c>
    </row>
    <row r="116" spans="1:25" x14ac:dyDescent="0.2">
      <c r="A116" s="140"/>
      <c r="B116">
        <v>28</v>
      </c>
      <c r="C116" t="s">
        <v>1172</v>
      </c>
      <c r="D116" t="s">
        <v>1173</v>
      </c>
      <c r="E116" t="s">
        <v>1630</v>
      </c>
      <c r="F116" t="s">
        <v>1630</v>
      </c>
      <c r="G116" t="s">
        <v>1630</v>
      </c>
      <c r="H116" t="s">
        <v>1630</v>
      </c>
      <c r="I116" t="s">
        <v>1631</v>
      </c>
      <c r="J116" t="s">
        <v>1630</v>
      </c>
      <c r="K116" t="s">
        <v>1631</v>
      </c>
      <c r="L116" t="s">
        <v>1630</v>
      </c>
      <c r="M116" t="s">
        <v>1631</v>
      </c>
      <c r="N116" t="s">
        <v>1631</v>
      </c>
      <c r="Q116" t="s">
        <v>1630</v>
      </c>
      <c r="R116" t="s">
        <v>1630</v>
      </c>
      <c r="S116" t="s">
        <v>1630</v>
      </c>
      <c r="T116" t="s">
        <v>1631</v>
      </c>
      <c r="U116" t="s">
        <v>1631</v>
      </c>
      <c r="V116" t="s">
        <v>1631</v>
      </c>
      <c r="W116" t="s">
        <v>1630</v>
      </c>
      <c r="X116" t="s">
        <v>1631</v>
      </c>
    </row>
    <row r="117" spans="1:25" x14ac:dyDescent="0.2">
      <c r="A117" s="140"/>
      <c r="B117">
        <v>84</v>
      </c>
      <c r="C117" t="s">
        <v>1182</v>
      </c>
      <c r="D117" t="s">
        <v>1183</v>
      </c>
      <c r="E117" t="s">
        <v>1630</v>
      </c>
      <c r="F117" t="s">
        <v>1631</v>
      </c>
      <c r="G117" t="s">
        <v>1630</v>
      </c>
      <c r="H117" t="s">
        <v>1630</v>
      </c>
      <c r="I117" t="s">
        <v>1631</v>
      </c>
      <c r="J117" t="s">
        <v>1630</v>
      </c>
      <c r="K117" t="s">
        <v>1631</v>
      </c>
      <c r="L117" t="s">
        <v>1630</v>
      </c>
      <c r="M117" t="s">
        <v>1630</v>
      </c>
      <c r="Q117" t="s">
        <v>1630</v>
      </c>
      <c r="R117" t="s">
        <v>1630</v>
      </c>
      <c r="S117" t="s">
        <v>1630</v>
      </c>
      <c r="T117" t="s">
        <v>1630</v>
      </c>
      <c r="U117" t="s">
        <v>1631</v>
      </c>
      <c r="V117" t="s">
        <v>1630</v>
      </c>
      <c r="W117" t="s">
        <v>1631</v>
      </c>
      <c r="X117" t="s">
        <v>1631</v>
      </c>
    </row>
    <row r="118" spans="1:25" x14ac:dyDescent="0.2">
      <c r="A118" s="140"/>
      <c r="B118">
        <v>21</v>
      </c>
      <c r="C118" t="s">
        <v>1190</v>
      </c>
      <c r="D118" t="s">
        <v>1191</v>
      </c>
      <c r="E118" t="s">
        <v>1630</v>
      </c>
      <c r="F118" t="s">
        <v>1631</v>
      </c>
      <c r="G118" t="s">
        <v>1630</v>
      </c>
      <c r="H118" t="s">
        <v>1630</v>
      </c>
      <c r="I118" t="s">
        <v>1630</v>
      </c>
      <c r="J118" t="s">
        <v>1630</v>
      </c>
      <c r="K118" t="s">
        <v>1632</v>
      </c>
      <c r="L118" t="s">
        <v>1630</v>
      </c>
      <c r="M118" t="s">
        <v>1631</v>
      </c>
      <c r="N118" t="s">
        <v>1631</v>
      </c>
      <c r="Q118" t="s">
        <v>1630</v>
      </c>
      <c r="R118" t="s">
        <v>1631</v>
      </c>
      <c r="S118" t="s">
        <v>1630</v>
      </c>
      <c r="T118" t="s">
        <v>1630</v>
      </c>
      <c r="U118" t="s">
        <v>1630</v>
      </c>
      <c r="V118" t="s">
        <v>1631</v>
      </c>
      <c r="W118" t="s">
        <v>1630</v>
      </c>
      <c r="X118" t="s">
        <v>1630</v>
      </c>
    </row>
    <row r="119" spans="1:25" x14ac:dyDescent="0.2">
      <c r="A119" s="140"/>
      <c r="B119">
        <v>32</v>
      </c>
      <c r="C119" t="s">
        <v>1201</v>
      </c>
      <c r="D119" t="s">
        <v>1202</v>
      </c>
      <c r="E119" t="s">
        <v>1630</v>
      </c>
      <c r="F119" t="s">
        <v>1631</v>
      </c>
      <c r="G119" t="s">
        <v>1630</v>
      </c>
      <c r="H119" t="s">
        <v>1631</v>
      </c>
      <c r="I119" t="s">
        <v>1630</v>
      </c>
      <c r="J119" t="s">
        <v>1632</v>
      </c>
      <c r="K119" t="s">
        <v>1632</v>
      </c>
      <c r="L119" t="s">
        <v>1631</v>
      </c>
      <c r="M119" t="s">
        <v>1630</v>
      </c>
      <c r="Q119" t="s">
        <v>1630</v>
      </c>
      <c r="R119" t="s">
        <v>1630</v>
      </c>
      <c r="S119" t="s">
        <v>1630</v>
      </c>
      <c r="T119" t="s">
        <v>1631</v>
      </c>
      <c r="U119" t="s">
        <v>1630</v>
      </c>
      <c r="V119" t="s">
        <v>1631</v>
      </c>
      <c r="W119" t="s">
        <v>1630</v>
      </c>
      <c r="X119" t="s">
        <v>1630</v>
      </c>
    </row>
    <row r="120" spans="1:25" x14ac:dyDescent="0.2">
      <c r="A120" s="140"/>
      <c r="B120">
        <v>20</v>
      </c>
      <c r="C120" t="s">
        <v>1212</v>
      </c>
      <c r="D120" t="s">
        <v>1213</v>
      </c>
      <c r="E120" t="s">
        <v>1630</v>
      </c>
      <c r="F120" t="s">
        <v>1630</v>
      </c>
      <c r="G120" t="s">
        <v>1630</v>
      </c>
      <c r="H120" t="s">
        <v>1630</v>
      </c>
      <c r="I120" t="s">
        <v>1631</v>
      </c>
      <c r="J120" t="s">
        <v>1631</v>
      </c>
      <c r="K120" t="s">
        <v>1631</v>
      </c>
      <c r="L120" t="s">
        <v>1630</v>
      </c>
      <c r="M120" t="s">
        <v>1630</v>
      </c>
      <c r="N120" t="s">
        <v>1631</v>
      </c>
      <c r="Q120" t="s">
        <v>1631</v>
      </c>
      <c r="R120" t="s">
        <v>1630</v>
      </c>
      <c r="S120" t="s">
        <v>1630</v>
      </c>
      <c r="T120" t="s">
        <v>1630</v>
      </c>
      <c r="U120" t="s">
        <v>1630</v>
      </c>
      <c r="V120" t="s">
        <v>1631</v>
      </c>
      <c r="W120" t="s">
        <v>1630</v>
      </c>
      <c r="X120" t="s">
        <v>1630</v>
      </c>
    </row>
    <row r="121" spans="1:25" x14ac:dyDescent="0.2">
      <c r="A121" s="140"/>
      <c r="B121">
        <v>90</v>
      </c>
      <c r="C121" t="s">
        <v>1219</v>
      </c>
      <c r="D121" t="s">
        <v>1220</v>
      </c>
      <c r="E121" t="s">
        <v>1630</v>
      </c>
      <c r="F121" t="s">
        <v>1630</v>
      </c>
      <c r="G121" t="s">
        <v>1630</v>
      </c>
      <c r="H121" t="s">
        <v>1630</v>
      </c>
      <c r="I121" t="s">
        <v>1631</v>
      </c>
      <c r="J121" t="s">
        <v>1631</v>
      </c>
      <c r="K121" t="s">
        <v>1631</v>
      </c>
      <c r="L121" t="s">
        <v>1630</v>
      </c>
      <c r="M121" t="s">
        <v>1630</v>
      </c>
      <c r="O121" t="s">
        <v>1631</v>
      </c>
      <c r="Q121" t="s">
        <v>1630</v>
      </c>
      <c r="R121" t="s">
        <v>1630</v>
      </c>
      <c r="S121" t="s">
        <v>1630</v>
      </c>
      <c r="T121" t="s">
        <v>1630</v>
      </c>
      <c r="U121" t="s">
        <v>1630</v>
      </c>
      <c r="V121" t="s">
        <v>1630</v>
      </c>
      <c r="W121" t="s">
        <v>1631</v>
      </c>
      <c r="X121" t="s">
        <v>1630</v>
      </c>
    </row>
    <row r="122" spans="1:25" x14ac:dyDescent="0.2">
      <c r="A122" s="140"/>
      <c r="B122">
        <v>118</v>
      </c>
      <c r="C122" t="s">
        <v>1224</v>
      </c>
      <c r="D122" t="s">
        <v>1225</v>
      </c>
      <c r="E122" t="s">
        <v>1630</v>
      </c>
      <c r="F122" t="s">
        <v>1631</v>
      </c>
      <c r="G122" t="s">
        <v>1630</v>
      </c>
      <c r="H122" t="s">
        <v>1630</v>
      </c>
      <c r="I122" t="s">
        <v>1630</v>
      </c>
      <c r="J122" t="s">
        <v>1630</v>
      </c>
      <c r="K122" t="s">
        <v>1630</v>
      </c>
      <c r="L122" t="s">
        <v>1631</v>
      </c>
      <c r="M122" t="s">
        <v>1631</v>
      </c>
      <c r="P122" t="s">
        <v>1631</v>
      </c>
      <c r="Q122" t="s">
        <v>1630</v>
      </c>
      <c r="R122" t="s">
        <v>1630</v>
      </c>
      <c r="S122" t="s">
        <v>1631</v>
      </c>
      <c r="T122" t="s">
        <v>1630</v>
      </c>
      <c r="U122" t="s">
        <v>1630</v>
      </c>
      <c r="V122" t="s">
        <v>1630</v>
      </c>
      <c r="W122" t="s">
        <v>1630</v>
      </c>
      <c r="X122" t="s">
        <v>1631</v>
      </c>
    </row>
    <row r="123" spans="1:25" x14ac:dyDescent="0.2">
      <c r="A123" s="140"/>
      <c r="B123">
        <v>153</v>
      </c>
      <c r="C123" t="s">
        <v>1232</v>
      </c>
      <c r="D123" t="s">
        <v>1233</v>
      </c>
      <c r="E123" t="s">
        <v>1630</v>
      </c>
      <c r="G123" t="s">
        <v>1630</v>
      </c>
      <c r="H123" t="s">
        <v>1630</v>
      </c>
      <c r="I123" t="s">
        <v>1631</v>
      </c>
      <c r="J123" t="s">
        <v>1630</v>
      </c>
      <c r="K123" t="s">
        <v>1631</v>
      </c>
      <c r="L123" t="s">
        <v>1630</v>
      </c>
      <c r="M123" t="s">
        <v>1631</v>
      </c>
      <c r="P123" t="s">
        <v>1631</v>
      </c>
      <c r="Q123" t="s">
        <v>1631</v>
      </c>
      <c r="R123" t="s">
        <v>1630</v>
      </c>
      <c r="S123" t="s">
        <v>1630</v>
      </c>
      <c r="T123" t="s">
        <v>1631</v>
      </c>
      <c r="U123" t="s">
        <v>1630</v>
      </c>
      <c r="V123" t="s">
        <v>1631</v>
      </c>
      <c r="W123" t="s">
        <v>1631</v>
      </c>
      <c r="X123" t="s">
        <v>1631</v>
      </c>
    </row>
    <row r="124" spans="1:25" x14ac:dyDescent="0.2">
      <c r="A124" s="140"/>
      <c r="B124">
        <v>147</v>
      </c>
      <c r="C124" t="s">
        <v>1244</v>
      </c>
      <c r="D124" t="s">
        <v>1245</v>
      </c>
      <c r="E124" t="s">
        <v>1631</v>
      </c>
      <c r="F124" t="s">
        <v>1631</v>
      </c>
      <c r="G124" t="s">
        <v>1630</v>
      </c>
      <c r="H124" t="s">
        <v>59</v>
      </c>
      <c r="I124" t="s">
        <v>1631</v>
      </c>
      <c r="J124" t="s">
        <v>1631</v>
      </c>
      <c r="K124" t="s">
        <v>1631</v>
      </c>
      <c r="L124" t="s">
        <v>1630</v>
      </c>
      <c r="M124" t="s">
        <v>1630</v>
      </c>
      <c r="O124" t="s">
        <v>1631</v>
      </c>
      <c r="Q124" t="s">
        <v>1630</v>
      </c>
      <c r="R124" t="s">
        <v>1630</v>
      </c>
      <c r="S124" t="s">
        <v>1630</v>
      </c>
      <c r="T124" t="s">
        <v>1630</v>
      </c>
      <c r="U124" t="s">
        <v>1630</v>
      </c>
      <c r="V124" t="s">
        <v>1630</v>
      </c>
      <c r="W124" t="s">
        <v>1631</v>
      </c>
      <c r="X124" t="s">
        <v>1630</v>
      </c>
    </row>
    <row r="125" spans="1:25" x14ac:dyDescent="0.2">
      <c r="A125" s="140"/>
      <c r="B125">
        <v>38</v>
      </c>
      <c r="C125" t="s">
        <v>1253</v>
      </c>
      <c r="D125" t="s">
        <v>1254</v>
      </c>
      <c r="E125" t="s">
        <v>1630</v>
      </c>
      <c r="F125" t="s">
        <v>1631</v>
      </c>
      <c r="G125" t="s">
        <v>1630</v>
      </c>
      <c r="H125" t="s">
        <v>1630</v>
      </c>
      <c r="I125" t="s">
        <v>1630</v>
      </c>
      <c r="J125" t="s">
        <v>1630</v>
      </c>
      <c r="K125" t="s">
        <v>1630</v>
      </c>
      <c r="L125" t="s">
        <v>1630</v>
      </c>
      <c r="M125" t="s">
        <v>1631</v>
      </c>
      <c r="O125" t="s">
        <v>1631</v>
      </c>
      <c r="Q125" t="s">
        <v>1631</v>
      </c>
      <c r="R125" t="s">
        <v>1630</v>
      </c>
      <c r="S125" t="s">
        <v>1630</v>
      </c>
      <c r="T125" t="s">
        <v>1630</v>
      </c>
      <c r="U125" t="s">
        <v>1630</v>
      </c>
      <c r="V125" t="s">
        <v>1630</v>
      </c>
      <c r="W125" t="s">
        <v>1631</v>
      </c>
      <c r="X125" t="s">
        <v>1630</v>
      </c>
    </row>
    <row r="126" spans="1:25" x14ac:dyDescent="0.2">
      <c r="A126" s="140"/>
      <c r="B126" s="74">
        <v>127</v>
      </c>
      <c r="C126" s="74" t="s">
        <v>1259</v>
      </c>
      <c r="D126" s="74" t="s">
        <v>1260</v>
      </c>
      <c r="E126" s="74" t="s">
        <v>1631</v>
      </c>
      <c r="F126" s="74" t="s">
        <v>1631</v>
      </c>
      <c r="G126" s="74" t="s">
        <v>1632</v>
      </c>
      <c r="H126" s="74" t="s">
        <v>1631</v>
      </c>
      <c r="I126" s="74" t="s">
        <v>1631</v>
      </c>
      <c r="J126" s="74" t="s">
        <v>1631</v>
      </c>
      <c r="K126" s="74" t="s">
        <v>1631</v>
      </c>
      <c r="L126" s="74" t="s">
        <v>1630</v>
      </c>
      <c r="M126" s="74" t="s">
        <v>1631</v>
      </c>
      <c r="O126" t="s">
        <v>1631</v>
      </c>
      <c r="Q126" s="74" t="s">
        <v>1630</v>
      </c>
      <c r="R126" s="74" t="s">
        <v>1630</v>
      </c>
      <c r="S126" s="74" t="s">
        <v>1630</v>
      </c>
      <c r="T126" s="74" t="s">
        <v>1630</v>
      </c>
      <c r="U126" s="74" t="s">
        <v>1630</v>
      </c>
      <c r="V126" s="74"/>
      <c r="W126" s="74" t="s">
        <v>1630</v>
      </c>
      <c r="X126" s="74" t="s">
        <v>1630</v>
      </c>
    </row>
    <row r="127" spans="1:25" x14ac:dyDescent="0.2">
      <c r="A127" s="140"/>
      <c r="B127" s="74" t="s">
        <v>1637</v>
      </c>
      <c r="C127" s="74">
        <f>COUNT(B114:B126)</f>
        <v>13</v>
      </c>
      <c r="D127" s="77" t="s">
        <v>1609</v>
      </c>
      <c r="E127" s="77">
        <f>COUNTIF(E114:E126, "\gcheck")</f>
        <v>2</v>
      </c>
      <c r="F127" s="77">
        <f t="shared" ref="F127:X127" si="6">COUNTIF(F114:F126, "\gcheck")</f>
        <v>7</v>
      </c>
      <c r="G127" s="77">
        <f t="shared" si="6"/>
        <v>0</v>
      </c>
      <c r="H127" s="77">
        <f t="shared" si="6"/>
        <v>2</v>
      </c>
      <c r="I127" s="77">
        <f t="shared" si="6"/>
        <v>8</v>
      </c>
      <c r="J127" s="77">
        <f t="shared" si="6"/>
        <v>4</v>
      </c>
      <c r="K127" s="77">
        <f t="shared" si="6"/>
        <v>8</v>
      </c>
      <c r="L127" s="77">
        <f t="shared" si="6"/>
        <v>2</v>
      </c>
      <c r="M127" s="77">
        <f t="shared" si="6"/>
        <v>8</v>
      </c>
      <c r="N127" s="77">
        <f t="shared" si="6"/>
        <v>3</v>
      </c>
      <c r="O127" s="77">
        <f t="shared" si="6"/>
        <v>6</v>
      </c>
      <c r="P127" s="77">
        <f t="shared" si="6"/>
        <v>2</v>
      </c>
      <c r="Q127" s="77">
        <f t="shared" si="6"/>
        <v>4</v>
      </c>
      <c r="R127" s="77">
        <f t="shared" si="6"/>
        <v>1</v>
      </c>
      <c r="S127" s="77">
        <f t="shared" si="6"/>
        <v>1</v>
      </c>
      <c r="T127" s="77">
        <f t="shared" si="6"/>
        <v>4</v>
      </c>
      <c r="U127" s="77">
        <f t="shared" si="6"/>
        <v>3</v>
      </c>
      <c r="V127" s="77">
        <f t="shared" si="6"/>
        <v>6</v>
      </c>
      <c r="W127" s="77">
        <f t="shared" si="6"/>
        <v>6</v>
      </c>
      <c r="X127" s="77">
        <f t="shared" si="6"/>
        <v>5</v>
      </c>
      <c r="Y127" s="74"/>
    </row>
    <row r="128" spans="1:25" x14ac:dyDescent="0.2">
      <c r="A128" s="141"/>
      <c r="B128" s="77"/>
      <c r="C128" s="77"/>
      <c r="D128" s="77" t="s">
        <v>1635</v>
      </c>
      <c r="E128" s="77">
        <f>ROUND(E127/$C$127*100, 2)</f>
        <v>15.38</v>
      </c>
      <c r="F128" s="77">
        <f t="shared" ref="F128:X128" si="7">ROUND(F127/$C$127*100, 2)</f>
        <v>53.85</v>
      </c>
      <c r="G128" s="77">
        <f t="shared" si="7"/>
        <v>0</v>
      </c>
      <c r="H128" s="77">
        <f t="shared" si="7"/>
        <v>15.38</v>
      </c>
      <c r="I128" s="77">
        <f t="shared" si="7"/>
        <v>61.54</v>
      </c>
      <c r="J128" s="77">
        <f t="shared" si="7"/>
        <v>30.77</v>
      </c>
      <c r="K128" s="77">
        <f t="shared" si="7"/>
        <v>61.54</v>
      </c>
      <c r="L128" s="77">
        <f t="shared" si="7"/>
        <v>15.38</v>
      </c>
      <c r="M128" s="77">
        <f t="shared" si="7"/>
        <v>61.54</v>
      </c>
      <c r="N128" s="77">
        <f t="shared" si="7"/>
        <v>23.08</v>
      </c>
      <c r="O128" s="77">
        <f t="shared" si="7"/>
        <v>46.15</v>
      </c>
      <c r="P128" s="77">
        <f t="shared" si="7"/>
        <v>15.38</v>
      </c>
      <c r="Q128" s="77">
        <f t="shared" si="7"/>
        <v>30.77</v>
      </c>
      <c r="R128" s="77">
        <f t="shared" si="7"/>
        <v>7.69</v>
      </c>
      <c r="S128" s="77">
        <f t="shared" si="7"/>
        <v>7.69</v>
      </c>
      <c r="T128" s="77">
        <f t="shared" si="7"/>
        <v>30.77</v>
      </c>
      <c r="U128" s="77">
        <f t="shared" si="7"/>
        <v>23.08</v>
      </c>
      <c r="V128" s="77">
        <f t="shared" si="7"/>
        <v>46.15</v>
      </c>
      <c r="W128" s="77">
        <f t="shared" si="7"/>
        <v>46.15</v>
      </c>
      <c r="X128" s="77">
        <f t="shared" si="7"/>
        <v>38.46</v>
      </c>
    </row>
    <row r="129" spans="1:24" ht="16" customHeight="1" x14ac:dyDescent="0.2">
      <c r="A129" s="142" t="s">
        <v>1271</v>
      </c>
      <c r="B129">
        <v>23</v>
      </c>
      <c r="C129" t="s">
        <v>1272</v>
      </c>
      <c r="D129" t="s">
        <v>1273</v>
      </c>
      <c r="E129" t="s">
        <v>1630</v>
      </c>
      <c r="F129" t="s">
        <v>1630</v>
      </c>
      <c r="G129" t="s">
        <v>1630</v>
      </c>
      <c r="H129" t="s">
        <v>1630</v>
      </c>
      <c r="I129" t="s">
        <v>1630</v>
      </c>
      <c r="J129" t="s">
        <v>1630</v>
      </c>
      <c r="K129" t="s">
        <v>1630</v>
      </c>
      <c r="L129" t="s">
        <v>1631</v>
      </c>
      <c r="M129" t="s">
        <v>1630</v>
      </c>
      <c r="P129" t="s">
        <v>1631</v>
      </c>
      <c r="Q129" t="s">
        <v>1630</v>
      </c>
      <c r="R129" t="s">
        <v>1630</v>
      </c>
      <c r="S129" t="s">
        <v>1631</v>
      </c>
      <c r="T129" t="s">
        <v>1630</v>
      </c>
      <c r="U129" t="s">
        <v>1630</v>
      </c>
      <c r="V129" t="s">
        <v>1631</v>
      </c>
      <c r="W129" t="s">
        <v>1630</v>
      </c>
      <c r="X129" t="s">
        <v>1630</v>
      </c>
    </row>
    <row r="130" spans="1:24" x14ac:dyDescent="0.2">
      <c r="A130" s="140"/>
      <c r="B130">
        <v>144</v>
      </c>
      <c r="C130" t="s">
        <v>1284</v>
      </c>
      <c r="D130" t="s">
        <v>1285</v>
      </c>
      <c r="E130" t="s">
        <v>1630</v>
      </c>
      <c r="F130" t="s">
        <v>1630</v>
      </c>
      <c r="G130" t="s">
        <v>1630</v>
      </c>
      <c r="H130" t="s">
        <v>1630</v>
      </c>
      <c r="I130" t="s">
        <v>1630</v>
      </c>
      <c r="J130" t="s">
        <v>1630</v>
      </c>
      <c r="K130" t="s">
        <v>1630</v>
      </c>
      <c r="L130" t="s">
        <v>1631</v>
      </c>
      <c r="M130" t="s">
        <v>1632</v>
      </c>
      <c r="N130" t="s">
        <v>1631</v>
      </c>
      <c r="Q130" t="s">
        <v>1630</v>
      </c>
      <c r="R130" t="s">
        <v>1630</v>
      </c>
      <c r="S130" t="s">
        <v>1630</v>
      </c>
      <c r="T130" t="s">
        <v>1630</v>
      </c>
      <c r="U130" t="s">
        <v>1630</v>
      </c>
      <c r="V130" t="s">
        <v>1630</v>
      </c>
      <c r="W130" t="s">
        <v>1631</v>
      </c>
      <c r="X130" t="s">
        <v>1630</v>
      </c>
    </row>
    <row r="131" spans="1:24" x14ac:dyDescent="0.2">
      <c r="A131" s="140"/>
      <c r="B131">
        <v>6</v>
      </c>
      <c r="C131" t="s">
        <v>1295</v>
      </c>
      <c r="D131" t="s">
        <v>1296</v>
      </c>
      <c r="E131" t="s">
        <v>1630</v>
      </c>
      <c r="F131" t="s">
        <v>1630</v>
      </c>
      <c r="G131" t="s">
        <v>1630</v>
      </c>
      <c r="H131" t="s">
        <v>1630</v>
      </c>
      <c r="I131" t="s">
        <v>1630</v>
      </c>
      <c r="J131" t="s">
        <v>1630</v>
      </c>
      <c r="K131" t="s">
        <v>1631</v>
      </c>
      <c r="L131" t="s">
        <v>1631</v>
      </c>
      <c r="M131" t="s">
        <v>1630</v>
      </c>
      <c r="O131" t="s">
        <v>1631</v>
      </c>
      <c r="P131" t="s">
        <v>1631</v>
      </c>
      <c r="Q131" t="s">
        <v>1630</v>
      </c>
      <c r="R131" t="s">
        <v>1630</v>
      </c>
      <c r="S131" t="s">
        <v>1631</v>
      </c>
      <c r="T131" t="s">
        <v>1630</v>
      </c>
      <c r="U131" t="s">
        <v>1630</v>
      </c>
      <c r="V131" t="s">
        <v>1630</v>
      </c>
      <c r="W131" t="s">
        <v>1630</v>
      </c>
      <c r="X131" t="s">
        <v>1631</v>
      </c>
    </row>
    <row r="132" spans="1:24" x14ac:dyDescent="0.2">
      <c r="A132" s="140"/>
      <c r="B132">
        <v>44</v>
      </c>
      <c r="C132" t="s">
        <v>1306</v>
      </c>
      <c r="D132" t="s">
        <v>1307</v>
      </c>
      <c r="E132" t="s">
        <v>1630</v>
      </c>
      <c r="F132" t="s">
        <v>1630</v>
      </c>
      <c r="G132" t="s">
        <v>1630</v>
      </c>
      <c r="H132" t="s">
        <v>1630</v>
      </c>
      <c r="I132" t="s">
        <v>1631</v>
      </c>
      <c r="J132" t="s">
        <v>1630</v>
      </c>
      <c r="K132" t="s">
        <v>1630</v>
      </c>
      <c r="L132" t="s">
        <v>1630</v>
      </c>
      <c r="M132" t="s">
        <v>1630</v>
      </c>
      <c r="N132" t="s">
        <v>1631</v>
      </c>
      <c r="Q132" t="s">
        <v>1631</v>
      </c>
      <c r="R132" t="s">
        <v>1630</v>
      </c>
      <c r="S132" t="s">
        <v>1630</v>
      </c>
      <c r="T132" t="s">
        <v>1630</v>
      </c>
      <c r="U132" t="s">
        <v>1630</v>
      </c>
      <c r="V132" t="s">
        <v>1631</v>
      </c>
      <c r="W132" t="s">
        <v>1630</v>
      </c>
      <c r="X132" t="s">
        <v>1630</v>
      </c>
    </row>
    <row r="133" spans="1:24" x14ac:dyDescent="0.2">
      <c r="A133" s="140"/>
      <c r="B133">
        <v>119</v>
      </c>
      <c r="C133" t="s">
        <v>1315</v>
      </c>
      <c r="D133" t="s">
        <v>974</v>
      </c>
      <c r="E133" t="s">
        <v>1630</v>
      </c>
      <c r="F133" t="s">
        <v>1630</v>
      </c>
      <c r="G133" t="s">
        <v>1630</v>
      </c>
      <c r="H133" t="s">
        <v>1630</v>
      </c>
      <c r="I133" t="s">
        <v>1630</v>
      </c>
      <c r="J133" t="s">
        <v>1630</v>
      </c>
      <c r="K133" t="s">
        <v>1630</v>
      </c>
      <c r="L133" t="s">
        <v>1631</v>
      </c>
      <c r="M133" t="s">
        <v>1631</v>
      </c>
      <c r="O133" t="s">
        <v>1631</v>
      </c>
      <c r="Q133" t="s">
        <v>1631</v>
      </c>
      <c r="R133" t="s">
        <v>1630</v>
      </c>
      <c r="S133" t="s">
        <v>1630</v>
      </c>
      <c r="T133" t="s">
        <v>1630</v>
      </c>
      <c r="U133" t="s">
        <v>1630</v>
      </c>
      <c r="V133" t="s">
        <v>1631</v>
      </c>
      <c r="W133" t="s">
        <v>1630</v>
      </c>
      <c r="X133" t="s">
        <v>1630</v>
      </c>
    </row>
    <row r="134" spans="1:24" x14ac:dyDescent="0.2">
      <c r="A134" s="140"/>
      <c r="B134">
        <v>11</v>
      </c>
      <c r="C134" t="s">
        <v>1325</v>
      </c>
      <c r="D134" t="s">
        <v>1326</v>
      </c>
      <c r="E134" t="s">
        <v>1630</v>
      </c>
      <c r="F134" t="s">
        <v>1630</v>
      </c>
      <c r="G134" t="s">
        <v>1630</v>
      </c>
      <c r="H134" t="s">
        <v>1630</v>
      </c>
      <c r="I134" t="s">
        <v>1631</v>
      </c>
      <c r="J134" t="s">
        <v>1630</v>
      </c>
      <c r="K134" t="s">
        <v>1630</v>
      </c>
      <c r="L134" t="s">
        <v>1630</v>
      </c>
      <c r="M134" t="s">
        <v>1630</v>
      </c>
      <c r="N134" t="s">
        <v>1631</v>
      </c>
      <c r="Q134" t="s">
        <v>1630</v>
      </c>
      <c r="R134" t="s">
        <v>1630</v>
      </c>
      <c r="S134" t="s">
        <v>1630</v>
      </c>
      <c r="T134" t="s">
        <v>1630</v>
      </c>
      <c r="U134" t="s">
        <v>1630</v>
      </c>
      <c r="V134" t="s">
        <v>1631</v>
      </c>
      <c r="W134" t="s">
        <v>1630</v>
      </c>
      <c r="X134" t="s">
        <v>1631</v>
      </c>
    </row>
    <row r="135" spans="1:24" x14ac:dyDescent="0.2">
      <c r="A135" s="140"/>
      <c r="B135">
        <v>27</v>
      </c>
      <c r="C135" t="s">
        <v>1337</v>
      </c>
      <c r="D135" t="s">
        <v>1326</v>
      </c>
      <c r="E135" t="s">
        <v>1630</v>
      </c>
      <c r="F135" t="s">
        <v>1630</v>
      </c>
      <c r="G135" t="s">
        <v>1630</v>
      </c>
      <c r="H135" t="s">
        <v>1630</v>
      </c>
      <c r="I135" t="s">
        <v>1631</v>
      </c>
      <c r="J135" t="s">
        <v>1630</v>
      </c>
      <c r="K135" t="s">
        <v>1630</v>
      </c>
      <c r="L135" t="s">
        <v>1631</v>
      </c>
      <c r="M135" t="s">
        <v>1630</v>
      </c>
      <c r="N135" t="s">
        <v>1631</v>
      </c>
      <c r="Q135" t="s">
        <v>1630</v>
      </c>
      <c r="R135" t="s">
        <v>1630</v>
      </c>
      <c r="S135" t="s">
        <v>1630</v>
      </c>
      <c r="T135" t="s">
        <v>1630</v>
      </c>
      <c r="U135" t="s">
        <v>1630</v>
      </c>
      <c r="W135" t="s">
        <v>1630</v>
      </c>
      <c r="X135" t="s">
        <v>1631</v>
      </c>
    </row>
    <row r="136" spans="1:24" x14ac:dyDescent="0.2">
      <c r="A136" s="140"/>
      <c r="B136">
        <v>9</v>
      </c>
      <c r="C136" t="s">
        <v>1345</v>
      </c>
      <c r="D136" t="s">
        <v>1326</v>
      </c>
      <c r="E136" t="s">
        <v>1630</v>
      </c>
      <c r="F136" t="s">
        <v>1630</v>
      </c>
      <c r="G136" t="s">
        <v>1630</v>
      </c>
      <c r="H136" t="s">
        <v>1630</v>
      </c>
      <c r="I136" t="s">
        <v>1631</v>
      </c>
      <c r="J136" t="s">
        <v>1630</v>
      </c>
      <c r="K136" t="s">
        <v>1631</v>
      </c>
      <c r="L136" t="s">
        <v>1630</v>
      </c>
      <c r="M136" t="s">
        <v>1630</v>
      </c>
      <c r="O136" t="s">
        <v>1631</v>
      </c>
      <c r="Q136" t="s">
        <v>1630</v>
      </c>
      <c r="R136" t="s">
        <v>1630</v>
      </c>
      <c r="S136" t="s">
        <v>1630</v>
      </c>
      <c r="T136" t="s">
        <v>1630</v>
      </c>
      <c r="U136" t="s">
        <v>1630</v>
      </c>
      <c r="V136" t="s">
        <v>1630</v>
      </c>
      <c r="W136" t="s">
        <v>1630</v>
      </c>
      <c r="X136" t="s">
        <v>1631</v>
      </c>
    </row>
    <row r="137" spans="1:24" x14ac:dyDescent="0.2">
      <c r="A137" s="140"/>
      <c r="B137">
        <v>8</v>
      </c>
      <c r="C137" t="s">
        <v>1348</v>
      </c>
      <c r="D137" t="s">
        <v>1349</v>
      </c>
      <c r="E137" t="s">
        <v>1630</v>
      </c>
      <c r="F137" t="s">
        <v>1630</v>
      </c>
      <c r="G137" t="s">
        <v>1630</v>
      </c>
      <c r="H137" t="s">
        <v>1630</v>
      </c>
      <c r="I137" t="s">
        <v>1630</v>
      </c>
      <c r="J137" t="s">
        <v>1630</v>
      </c>
      <c r="K137" t="s">
        <v>1630</v>
      </c>
      <c r="L137" t="s">
        <v>1630</v>
      </c>
      <c r="M137" t="s">
        <v>1631</v>
      </c>
      <c r="N137" t="s">
        <v>1631</v>
      </c>
      <c r="Q137" t="s">
        <v>1630</v>
      </c>
      <c r="R137" t="s">
        <v>1630</v>
      </c>
      <c r="S137" t="s">
        <v>1630</v>
      </c>
      <c r="T137" t="s">
        <v>1631</v>
      </c>
      <c r="U137" t="s">
        <v>1630</v>
      </c>
      <c r="V137" t="s">
        <v>1630</v>
      </c>
      <c r="W137" t="s">
        <v>1631</v>
      </c>
      <c r="X137" t="s">
        <v>1630</v>
      </c>
    </row>
    <row r="138" spans="1:24" x14ac:dyDescent="0.2">
      <c r="A138" s="140"/>
      <c r="B138">
        <v>86</v>
      </c>
      <c r="C138" t="s">
        <v>1362</v>
      </c>
      <c r="D138" t="s">
        <v>1363</v>
      </c>
      <c r="E138" t="s">
        <v>1630</v>
      </c>
      <c r="F138" t="s">
        <v>1630</v>
      </c>
      <c r="G138" t="s">
        <v>1630</v>
      </c>
      <c r="H138" t="s">
        <v>1632</v>
      </c>
      <c r="I138" t="s">
        <v>1631</v>
      </c>
      <c r="J138" t="s">
        <v>1630</v>
      </c>
      <c r="K138" t="s">
        <v>1630</v>
      </c>
      <c r="L138" t="s">
        <v>1630</v>
      </c>
      <c r="M138" t="s">
        <v>1630</v>
      </c>
      <c r="Q138" t="s">
        <v>1630</v>
      </c>
      <c r="R138" t="s">
        <v>1630</v>
      </c>
      <c r="S138" t="s">
        <v>1630</v>
      </c>
      <c r="T138" t="s">
        <v>1630</v>
      </c>
      <c r="U138" t="s">
        <v>1630</v>
      </c>
      <c r="V138" t="s">
        <v>1630</v>
      </c>
      <c r="W138" t="s">
        <v>1630</v>
      </c>
      <c r="X138" t="s">
        <v>1631</v>
      </c>
    </row>
    <row r="139" spans="1:24" x14ac:dyDescent="0.2">
      <c r="A139" s="140"/>
      <c r="B139">
        <v>19</v>
      </c>
      <c r="C139" t="s">
        <v>1638</v>
      </c>
      <c r="D139" t="s">
        <v>1370</v>
      </c>
      <c r="E139" t="s">
        <v>1630</v>
      </c>
      <c r="F139" t="s">
        <v>1630</v>
      </c>
      <c r="G139" t="s">
        <v>1630</v>
      </c>
      <c r="H139" t="s">
        <v>1630</v>
      </c>
      <c r="I139" t="s">
        <v>1630</v>
      </c>
      <c r="J139" t="s">
        <v>1630</v>
      </c>
      <c r="K139" t="s">
        <v>1630</v>
      </c>
      <c r="L139" t="s">
        <v>1630</v>
      </c>
      <c r="M139" t="s">
        <v>1630</v>
      </c>
      <c r="Q139" t="s">
        <v>1630</v>
      </c>
      <c r="R139" t="s">
        <v>1630</v>
      </c>
      <c r="S139" t="s">
        <v>1630</v>
      </c>
      <c r="T139" t="s">
        <v>1630</v>
      </c>
      <c r="U139" t="s">
        <v>1630</v>
      </c>
      <c r="V139" t="s">
        <v>1631</v>
      </c>
      <c r="W139" t="s">
        <v>1630</v>
      </c>
      <c r="X139" t="s">
        <v>1630</v>
      </c>
    </row>
    <row r="140" spans="1:24" x14ac:dyDescent="0.2">
      <c r="A140" s="140"/>
      <c r="B140">
        <v>111</v>
      </c>
      <c r="C140" t="s">
        <v>1376</v>
      </c>
      <c r="D140" t="s">
        <v>1377</v>
      </c>
      <c r="E140" t="s">
        <v>1630</v>
      </c>
      <c r="F140" t="s">
        <v>1630</v>
      </c>
      <c r="G140" t="s">
        <v>1630</v>
      </c>
      <c r="H140" t="s">
        <v>1630</v>
      </c>
      <c r="I140" t="s">
        <v>1631</v>
      </c>
      <c r="J140" t="s">
        <v>1630</v>
      </c>
      <c r="K140" t="s">
        <v>1631</v>
      </c>
      <c r="L140" t="s">
        <v>1631</v>
      </c>
      <c r="M140" t="s">
        <v>1631</v>
      </c>
      <c r="O140" t="s">
        <v>1631</v>
      </c>
      <c r="Q140" t="s">
        <v>1630</v>
      </c>
      <c r="R140" t="s">
        <v>1630</v>
      </c>
      <c r="S140" t="s">
        <v>1630</v>
      </c>
      <c r="T140" t="s">
        <v>1630</v>
      </c>
      <c r="U140" t="s">
        <v>1630</v>
      </c>
      <c r="V140" t="s">
        <v>1630</v>
      </c>
      <c r="W140" t="s">
        <v>1631</v>
      </c>
      <c r="X140" t="s">
        <v>1630</v>
      </c>
    </row>
    <row r="141" spans="1:24" x14ac:dyDescent="0.2">
      <c r="A141" s="140"/>
      <c r="B141">
        <v>53</v>
      </c>
      <c r="C141" t="s">
        <v>1383</v>
      </c>
      <c r="D141" t="s">
        <v>1384</v>
      </c>
      <c r="E141" t="s">
        <v>1630</v>
      </c>
      <c r="F141" t="s">
        <v>1630</v>
      </c>
      <c r="G141" t="s">
        <v>1630</v>
      </c>
      <c r="H141" t="s">
        <v>1630</v>
      </c>
      <c r="I141" t="s">
        <v>1630</v>
      </c>
      <c r="J141" t="s">
        <v>1630</v>
      </c>
      <c r="K141" t="s">
        <v>1630</v>
      </c>
      <c r="L141" t="s">
        <v>1631</v>
      </c>
      <c r="M141" t="s">
        <v>1630</v>
      </c>
      <c r="N141" t="s">
        <v>1631</v>
      </c>
      <c r="Q141" t="s">
        <v>1630</v>
      </c>
      <c r="R141" t="s">
        <v>1630</v>
      </c>
      <c r="S141" t="s">
        <v>1630</v>
      </c>
      <c r="T141" t="s">
        <v>1631</v>
      </c>
      <c r="U141" t="s">
        <v>1630</v>
      </c>
      <c r="V141" t="s">
        <v>1630</v>
      </c>
      <c r="W141" t="s">
        <v>1631</v>
      </c>
      <c r="X141" t="s">
        <v>1630</v>
      </c>
    </row>
    <row r="142" spans="1:24" x14ac:dyDescent="0.2">
      <c r="A142" s="140"/>
      <c r="B142">
        <v>36</v>
      </c>
      <c r="C142" t="s">
        <v>1394</v>
      </c>
      <c r="D142" t="s">
        <v>1395</v>
      </c>
      <c r="E142" t="s">
        <v>1630</v>
      </c>
      <c r="F142" t="s">
        <v>1630</v>
      </c>
      <c r="G142" t="s">
        <v>1630</v>
      </c>
      <c r="H142" t="s">
        <v>1630</v>
      </c>
      <c r="I142" t="s">
        <v>1631</v>
      </c>
      <c r="J142" t="s">
        <v>1630</v>
      </c>
      <c r="K142" t="s">
        <v>1631</v>
      </c>
      <c r="L142" t="s">
        <v>1632</v>
      </c>
      <c r="M142" t="s">
        <v>1630</v>
      </c>
      <c r="O142" t="s">
        <v>1631</v>
      </c>
      <c r="Q142" t="s">
        <v>1630</v>
      </c>
      <c r="R142" t="s">
        <v>1630</v>
      </c>
      <c r="S142" t="s">
        <v>1630</v>
      </c>
      <c r="T142" t="s">
        <v>1630</v>
      </c>
      <c r="U142" t="s">
        <v>1630</v>
      </c>
      <c r="V142" t="s">
        <v>1631</v>
      </c>
      <c r="W142" t="s">
        <v>1630</v>
      </c>
      <c r="X142" t="s">
        <v>1630</v>
      </c>
    </row>
    <row r="143" spans="1:24" x14ac:dyDescent="0.2">
      <c r="A143" s="140"/>
      <c r="B143">
        <v>50</v>
      </c>
      <c r="C143" t="s">
        <v>1400</v>
      </c>
      <c r="D143" t="s">
        <v>1401</v>
      </c>
      <c r="E143" t="s">
        <v>1631</v>
      </c>
      <c r="F143" t="s">
        <v>1631</v>
      </c>
      <c r="G143" t="s">
        <v>1630</v>
      </c>
      <c r="H143" t="s">
        <v>1630</v>
      </c>
      <c r="I143" t="s">
        <v>1631</v>
      </c>
      <c r="J143" t="s">
        <v>1630</v>
      </c>
      <c r="K143" t="s">
        <v>1630</v>
      </c>
      <c r="L143" t="s">
        <v>1630</v>
      </c>
      <c r="M143" t="s">
        <v>1630</v>
      </c>
      <c r="N143" t="s">
        <v>1631</v>
      </c>
      <c r="Q143" t="s">
        <v>1630</v>
      </c>
      <c r="R143" t="s">
        <v>1630</v>
      </c>
      <c r="S143" t="s">
        <v>1630</v>
      </c>
      <c r="T143" t="s">
        <v>1630</v>
      </c>
      <c r="U143" t="s">
        <v>1631</v>
      </c>
      <c r="V143" t="s">
        <v>1631</v>
      </c>
      <c r="W143" t="s">
        <v>1630</v>
      </c>
      <c r="X143" t="s">
        <v>1630</v>
      </c>
    </row>
    <row r="144" spans="1:24" x14ac:dyDescent="0.2">
      <c r="A144" s="140"/>
      <c r="B144">
        <v>52</v>
      </c>
      <c r="C144" t="s">
        <v>1408</v>
      </c>
      <c r="D144" t="s">
        <v>1409</v>
      </c>
      <c r="E144" t="s">
        <v>1630</v>
      </c>
      <c r="F144" t="s">
        <v>1630</v>
      </c>
      <c r="G144" t="s">
        <v>1630</v>
      </c>
      <c r="H144" t="s">
        <v>1630</v>
      </c>
      <c r="I144" t="s">
        <v>1631</v>
      </c>
      <c r="J144" t="s">
        <v>1630</v>
      </c>
      <c r="K144" t="s">
        <v>1630</v>
      </c>
      <c r="L144" t="s">
        <v>1631</v>
      </c>
      <c r="M144" t="s">
        <v>1630</v>
      </c>
      <c r="O144" t="s">
        <v>1631</v>
      </c>
      <c r="Q144" t="s">
        <v>1630</v>
      </c>
      <c r="R144" t="s">
        <v>1630</v>
      </c>
      <c r="S144" t="s">
        <v>1630</v>
      </c>
      <c r="T144" t="s">
        <v>1630</v>
      </c>
      <c r="U144" t="s">
        <v>1630</v>
      </c>
      <c r="V144" t="s">
        <v>1630</v>
      </c>
      <c r="W144" t="s">
        <v>1630</v>
      </c>
      <c r="X144" t="s">
        <v>1631</v>
      </c>
    </row>
    <row r="145" spans="1:24" x14ac:dyDescent="0.2">
      <c r="A145" s="140"/>
      <c r="B145">
        <v>64</v>
      </c>
      <c r="C145" t="s">
        <v>1416</v>
      </c>
      <c r="D145" t="s">
        <v>1417</v>
      </c>
      <c r="E145" t="s">
        <v>1630</v>
      </c>
      <c r="F145" t="s">
        <v>1630</v>
      </c>
      <c r="G145" t="s">
        <v>1630</v>
      </c>
      <c r="H145" t="s">
        <v>1630</v>
      </c>
      <c r="I145" t="s">
        <v>1630</v>
      </c>
      <c r="J145" t="s">
        <v>1630</v>
      </c>
      <c r="K145" t="s">
        <v>1630</v>
      </c>
      <c r="L145" t="s">
        <v>1630</v>
      </c>
      <c r="M145" t="s">
        <v>1631</v>
      </c>
      <c r="O145" t="s">
        <v>1631</v>
      </c>
      <c r="P145" t="s">
        <v>1631</v>
      </c>
      <c r="Q145" t="s">
        <v>1630</v>
      </c>
      <c r="R145" t="s">
        <v>1630</v>
      </c>
      <c r="S145" t="s">
        <v>1630</v>
      </c>
      <c r="T145" t="s">
        <v>1630</v>
      </c>
      <c r="U145" t="s">
        <v>1630</v>
      </c>
      <c r="V145" t="s">
        <v>1630</v>
      </c>
      <c r="W145" t="s">
        <v>1630</v>
      </c>
      <c r="X145" t="s">
        <v>1631</v>
      </c>
    </row>
    <row r="146" spans="1:24" x14ac:dyDescent="0.2">
      <c r="A146" s="140"/>
      <c r="B146">
        <v>3</v>
      </c>
      <c r="C146" t="s">
        <v>1426</v>
      </c>
      <c r="D146" t="s">
        <v>1427</v>
      </c>
      <c r="E146" t="s">
        <v>1630</v>
      </c>
      <c r="F146" t="s">
        <v>1630</v>
      </c>
      <c r="G146" t="s">
        <v>1630</v>
      </c>
      <c r="H146" t="s">
        <v>1630</v>
      </c>
      <c r="I146" t="s">
        <v>1631</v>
      </c>
      <c r="J146" t="s">
        <v>1630</v>
      </c>
      <c r="K146" t="s">
        <v>1630</v>
      </c>
      <c r="L146" t="s">
        <v>1631</v>
      </c>
      <c r="M146" t="s">
        <v>1631</v>
      </c>
      <c r="N146" t="s">
        <v>1631</v>
      </c>
      <c r="Q146" t="s">
        <v>1630</v>
      </c>
      <c r="R146" t="s">
        <v>1630</v>
      </c>
      <c r="S146" t="s">
        <v>1630</v>
      </c>
      <c r="T146" t="s">
        <v>1630</v>
      </c>
      <c r="U146" t="s">
        <v>1630</v>
      </c>
      <c r="V146" t="s">
        <v>1630</v>
      </c>
      <c r="W146" t="s">
        <v>1631</v>
      </c>
      <c r="X146" t="s">
        <v>1630</v>
      </c>
    </row>
    <row r="147" spans="1:24" x14ac:dyDescent="0.2">
      <c r="A147" s="140"/>
      <c r="B147" s="74">
        <v>30</v>
      </c>
      <c r="C147" s="74" t="s">
        <v>1438</v>
      </c>
      <c r="D147" s="74" t="s">
        <v>1439</v>
      </c>
      <c r="E147" s="74" t="s">
        <v>1630</v>
      </c>
      <c r="F147" s="74" t="s">
        <v>1630</v>
      </c>
      <c r="G147" s="74" t="s">
        <v>1630</v>
      </c>
      <c r="H147" s="74" t="s">
        <v>1630</v>
      </c>
      <c r="I147" s="74" t="s">
        <v>1630</v>
      </c>
      <c r="J147" s="74" t="s">
        <v>1630</v>
      </c>
      <c r="K147" s="74" t="s">
        <v>1630</v>
      </c>
      <c r="L147" s="74" t="s">
        <v>1631</v>
      </c>
      <c r="M147" s="74" t="s">
        <v>1630</v>
      </c>
      <c r="N147" t="s">
        <v>1631</v>
      </c>
      <c r="Q147" s="74" t="s">
        <v>1630</v>
      </c>
      <c r="R147" s="74" t="s">
        <v>1630</v>
      </c>
      <c r="S147" s="74" t="s">
        <v>1630</v>
      </c>
      <c r="T147" s="74" t="s">
        <v>1630</v>
      </c>
      <c r="U147" s="74" t="s">
        <v>1630</v>
      </c>
      <c r="V147" s="74" t="s">
        <v>1630</v>
      </c>
      <c r="W147" s="74" t="s">
        <v>1631</v>
      </c>
      <c r="X147" s="74" t="s">
        <v>1630</v>
      </c>
    </row>
    <row r="148" spans="1:24" x14ac:dyDescent="0.2">
      <c r="A148" s="140"/>
      <c r="B148" t="s">
        <v>1637</v>
      </c>
      <c r="C148">
        <f>COUNT(B129:B147)</f>
        <v>19</v>
      </c>
      <c r="D148" s="77" t="s">
        <v>1609</v>
      </c>
      <c r="E148" s="77">
        <f>COUNTIF(E129:E147, "\gcheck")</f>
        <v>1</v>
      </c>
      <c r="F148" s="77">
        <f t="shared" ref="F148:X148" si="8">COUNTIF(F129:F147, "\gcheck")</f>
        <v>1</v>
      </c>
      <c r="G148" s="77">
        <f t="shared" si="8"/>
        <v>0</v>
      </c>
      <c r="H148" s="77">
        <f t="shared" si="8"/>
        <v>0</v>
      </c>
      <c r="I148" s="77">
        <f t="shared" si="8"/>
        <v>10</v>
      </c>
      <c r="J148" s="77">
        <f t="shared" si="8"/>
        <v>0</v>
      </c>
      <c r="K148" s="77">
        <f t="shared" si="8"/>
        <v>4</v>
      </c>
      <c r="L148" s="77">
        <f t="shared" si="8"/>
        <v>10</v>
      </c>
      <c r="M148" s="77">
        <f t="shared" si="8"/>
        <v>5</v>
      </c>
      <c r="N148" s="77">
        <f t="shared" si="8"/>
        <v>9</v>
      </c>
      <c r="O148" s="77">
        <f t="shared" si="8"/>
        <v>7</v>
      </c>
      <c r="P148" s="77">
        <f t="shared" si="8"/>
        <v>3</v>
      </c>
      <c r="Q148" s="77">
        <f t="shared" si="8"/>
        <v>2</v>
      </c>
      <c r="R148" s="77">
        <f t="shared" si="8"/>
        <v>0</v>
      </c>
      <c r="S148" s="77">
        <f t="shared" si="8"/>
        <v>2</v>
      </c>
      <c r="T148" s="77">
        <f t="shared" si="8"/>
        <v>2</v>
      </c>
      <c r="U148" s="77">
        <f t="shared" si="8"/>
        <v>1</v>
      </c>
      <c r="V148" s="77">
        <f t="shared" si="8"/>
        <v>7</v>
      </c>
      <c r="W148" s="77">
        <f t="shared" si="8"/>
        <v>6</v>
      </c>
      <c r="X148" s="77">
        <f t="shared" si="8"/>
        <v>7</v>
      </c>
    </row>
    <row r="149" spans="1:24" x14ac:dyDescent="0.2">
      <c r="A149" s="141"/>
      <c r="D149" s="77" t="s">
        <v>1635</v>
      </c>
      <c r="E149" s="75">
        <f>ROUND(E148/$C$148*100, 2)</f>
        <v>5.26</v>
      </c>
      <c r="F149" s="75">
        <f t="shared" ref="F149:X149" si="9">ROUND(F148/$C$148*100, 2)</f>
        <v>5.26</v>
      </c>
      <c r="G149" s="75">
        <f t="shared" si="9"/>
        <v>0</v>
      </c>
      <c r="H149" s="75">
        <f t="shared" si="9"/>
        <v>0</v>
      </c>
      <c r="I149" s="75">
        <f t="shared" si="9"/>
        <v>52.63</v>
      </c>
      <c r="J149" s="75">
        <f t="shared" si="9"/>
        <v>0</v>
      </c>
      <c r="K149" s="75">
        <f t="shared" si="9"/>
        <v>21.05</v>
      </c>
      <c r="L149" s="75">
        <f t="shared" si="9"/>
        <v>52.63</v>
      </c>
      <c r="M149" s="75">
        <f t="shared" si="9"/>
        <v>26.32</v>
      </c>
      <c r="N149" s="75">
        <f t="shared" si="9"/>
        <v>47.37</v>
      </c>
      <c r="O149" s="75">
        <f t="shared" si="9"/>
        <v>36.840000000000003</v>
      </c>
      <c r="P149" s="75">
        <f t="shared" si="9"/>
        <v>15.79</v>
      </c>
      <c r="Q149" s="75">
        <f t="shared" si="9"/>
        <v>10.53</v>
      </c>
      <c r="R149" s="75">
        <f t="shared" si="9"/>
        <v>0</v>
      </c>
      <c r="S149" s="75">
        <f t="shared" si="9"/>
        <v>10.53</v>
      </c>
      <c r="T149" s="75">
        <f t="shared" si="9"/>
        <v>10.53</v>
      </c>
      <c r="U149" s="75">
        <f t="shared" si="9"/>
        <v>5.26</v>
      </c>
      <c r="V149" s="75">
        <f t="shared" si="9"/>
        <v>36.840000000000003</v>
      </c>
      <c r="W149" s="75">
        <f t="shared" si="9"/>
        <v>31.58</v>
      </c>
      <c r="X149" s="75">
        <f t="shared" si="9"/>
        <v>36.840000000000003</v>
      </c>
    </row>
    <row r="150" spans="1:24" ht="16" customHeight="1" x14ac:dyDescent="0.2">
      <c r="A150" s="143" t="s">
        <v>1448</v>
      </c>
      <c r="B150" s="75">
        <v>134</v>
      </c>
      <c r="C150" s="75" t="s">
        <v>1449</v>
      </c>
      <c r="D150" s="75" t="s">
        <v>1450</v>
      </c>
      <c r="E150" s="75" t="s">
        <v>1630</v>
      </c>
      <c r="F150" s="75" t="s">
        <v>1631</v>
      </c>
      <c r="G150" s="75" t="s">
        <v>1630</v>
      </c>
      <c r="H150" s="75" t="s">
        <v>1630</v>
      </c>
      <c r="I150" s="75" t="s">
        <v>1630</v>
      </c>
      <c r="J150" s="75" t="s">
        <v>1630</v>
      </c>
      <c r="K150" s="75" t="s">
        <v>1630</v>
      </c>
      <c r="L150" s="75" t="s">
        <v>1631</v>
      </c>
      <c r="M150" s="75" t="s">
        <v>1631</v>
      </c>
      <c r="N150" s="75"/>
      <c r="O150" s="75"/>
      <c r="P150" s="75" t="s">
        <v>1631</v>
      </c>
      <c r="Q150" s="75" t="s">
        <v>1630</v>
      </c>
      <c r="R150" s="75" t="s">
        <v>1630</v>
      </c>
      <c r="S150" s="75" t="s">
        <v>1630</v>
      </c>
      <c r="T150" s="75" t="s">
        <v>1630</v>
      </c>
      <c r="U150" s="75" t="s">
        <v>1630</v>
      </c>
      <c r="V150" s="75"/>
      <c r="W150" s="75" t="s">
        <v>1630</v>
      </c>
      <c r="X150" s="75" t="s">
        <v>1631</v>
      </c>
    </row>
    <row r="151" spans="1:24" x14ac:dyDescent="0.2">
      <c r="A151" s="144"/>
      <c r="B151">
        <v>138</v>
      </c>
      <c r="C151" t="s">
        <v>1458</v>
      </c>
      <c r="D151" t="s">
        <v>1450</v>
      </c>
      <c r="E151" t="s">
        <v>1630</v>
      </c>
      <c r="F151" t="s">
        <v>1630</v>
      </c>
      <c r="G151" t="s">
        <v>1630</v>
      </c>
      <c r="H151" t="s">
        <v>1630</v>
      </c>
      <c r="I151" t="s">
        <v>1630</v>
      </c>
      <c r="J151" t="s">
        <v>1630</v>
      </c>
      <c r="K151" t="s">
        <v>1630</v>
      </c>
      <c r="L151" t="s">
        <v>1631</v>
      </c>
      <c r="M151" t="s">
        <v>1631</v>
      </c>
      <c r="Q151" t="s">
        <v>1630</v>
      </c>
      <c r="R151" t="s">
        <v>1631</v>
      </c>
      <c r="S151" t="s">
        <v>1630</v>
      </c>
      <c r="T151" t="s">
        <v>1630</v>
      </c>
      <c r="U151" t="s">
        <v>1630</v>
      </c>
      <c r="W151" t="s">
        <v>1630</v>
      </c>
      <c r="X151" t="s">
        <v>1631</v>
      </c>
    </row>
    <row r="152" spans="1:24" x14ac:dyDescent="0.2">
      <c r="A152" s="144"/>
      <c r="B152">
        <v>12</v>
      </c>
      <c r="C152" t="s">
        <v>1468</v>
      </c>
      <c r="D152" t="s">
        <v>1469</v>
      </c>
      <c r="E152" t="s">
        <v>1631</v>
      </c>
      <c r="F152" t="s">
        <v>1631</v>
      </c>
      <c r="G152" t="s">
        <v>1631</v>
      </c>
      <c r="H152" t="s">
        <v>1631</v>
      </c>
      <c r="I152" t="s">
        <v>1631</v>
      </c>
      <c r="J152" t="s">
        <v>1630</v>
      </c>
      <c r="K152" t="s">
        <v>1630</v>
      </c>
      <c r="L152" t="s">
        <v>1631</v>
      </c>
      <c r="M152" t="s">
        <v>1630</v>
      </c>
      <c r="P152" t="s">
        <v>1631</v>
      </c>
      <c r="Q152" t="s">
        <v>1630</v>
      </c>
      <c r="R152" t="s">
        <v>1630</v>
      </c>
      <c r="S152" t="s">
        <v>1630</v>
      </c>
      <c r="T152" t="s">
        <v>1630</v>
      </c>
      <c r="U152" t="s">
        <v>1630</v>
      </c>
      <c r="V152" t="s">
        <v>1630</v>
      </c>
      <c r="W152" t="s">
        <v>1630</v>
      </c>
      <c r="X152" t="s">
        <v>1631</v>
      </c>
    </row>
    <row r="153" spans="1:24" x14ac:dyDescent="0.2">
      <c r="A153" s="144"/>
      <c r="B153">
        <v>1</v>
      </c>
      <c r="C153" t="s">
        <v>1477</v>
      </c>
      <c r="D153" t="s">
        <v>1478</v>
      </c>
      <c r="E153" t="s">
        <v>1631</v>
      </c>
      <c r="F153" t="s">
        <v>1631</v>
      </c>
      <c r="G153" t="s">
        <v>1631</v>
      </c>
      <c r="H153" t="s">
        <v>1631</v>
      </c>
      <c r="I153" t="s">
        <v>1631</v>
      </c>
      <c r="J153" t="s">
        <v>1630</v>
      </c>
      <c r="K153" t="s">
        <v>1630</v>
      </c>
      <c r="L153" t="s">
        <v>1631</v>
      </c>
      <c r="M153" t="s">
        <v>1630</v>
      </c>
      <c r="P153" t="s">
        <v>1631</v>
      </c>
      <c r="Q153" t="s">
        <v>1630</v>
      </c>
      <c r="R153" t="s">
        <v>1631</v>
      </c>
      <c r="S153" t="s">
        <v>1630</v>
      </c>
      <c r="T153" t="s">
        <v>1630</v>
      </c>
      <c r="U153" t="s">
        <v>1630</v>
      </c>
      <c r="V153" t="s">
        <v>1630</v>
      </c>
      <c r="W153" t="s">
        <v>1630</v>
      </c>
      <c r="X153" t="s">
        <v>1631</v>
      </c>
    </row>
    <row r="154" spans="1:24" x14ac:dyDescent="0.2">
      <c r="A154" s="144"/>
      <c r="B154">
        <v>33</v>
      </c>
      <c r="C154" t="s">
        <v>1488</v>
      </c>
      <c r="D154" t="s">
        <v>1489</v>
      </c>
      <c r="E154" t="s">
        <v>1630</v>
      </c>
      <c r="F154" t="s">
        <v>1630</v>
      </c>
      <c r="G154" t="s">
        <v>1630</v>
      </c>
      <c r="H154" t="s">
        <v>1630</v>
      </c>
      <c r="I154" t="s">
        <v>1631</v>
      </c>
      <c r="J154" t="s">
        <v>1630</v>
      </c>
      <c r="K154" t="s">
        <v>1630</v>
      </c>
      <c r="L154" t="s">
        <v>1631</v>
      </c>
      <c r="M154" t="s">
        <v>1631</v>
      </c>
      <c r="N154" t="s">
        <v>1631</v>
      </c>
      <c r="Q154" t="s">
        <v>1630</v>
      </c>
      <c r="R154" t="s">
        <v>1630</v>
      </c>
      <c r="S154" t="s">
        <v>1630</v>
      </c>
      <c r="T154" t="s">
        <v>1631</v>
      </c>
      <c r="U154" t="s">
        <v>1630</v>
      </c>
      <c r="V154" t="s">
        <v>1631</v>
      </c>
      <c r="W154" t="s">
        <v>1630</v>
      </c>
      <c r="X154" t="s">
        <v>1630</v>
      </c>
    </row>
    <row r="155" spans="1:24" x14ac:dyDescent="0.2">
      <c r="A155" s="144"/>
      <c r="B155">
        <v>82</v>
      </c>
      <c r="C155" t="s">
        <v>1494</v>
      </c>
      <c r="D155" t="s">
        <v>1495</v>
      </c>
      <c r="E155" t="s">
        <v>1630</v>
      </c>
      <c r="F155" t="s">
        <v>1631</v>
      </c>
      <c r="G155" t="s">
        <v>1630</v>
      </c>
      <c r="H155" t="s">
        <v>1630</v>
      </c>
      <c r="I155" t="s">
        <v>1630</v>
      </c>
      <c r="J155" t="s">
        <v>1630</v>
      </c>
      <c r="K155" t="s">
        <v>1630</v>
      </c>
      <c r="L155" t="s">
        <v>1631</v>
      </c>
      <c r="M155" t="s">
        <v>1631</v>
      </c>
      <c r="N155" t="s">
        <v>1631</v>
      </c>
      <c r="Q155" t="s">
        <v>1630</v>
      </c>
      <c r="R155" t="s">
        <v>1631</v>
      </c>
      <c r="S155" t="s">
        <v>1630</v>
      </c>
      <c r="T155" t="s">
        <v>1630</v>
      </c>
      <c r="U155" t="s">
        <v>1630</v>
      </c>
      <c r="W155" t="s">
        <v>1630</v>
      </c>
      <c r="X155" t="s">
        <v>1631</v>
      </c>
    </row>
    <row r="156" spans="1:24" x14ac:dyDescent="0.2">
      <c r="A156" s="144"/>
      <c r="B156">
        <v>75</v>
      </c>
      <c r="C156" t="s">
        <v>1507</v>
      </c>
      <c r="D156" t="s">
        <v>1508</v>
      </c>
      <c r="E156" t="s">
        <v>1630</v>
      </c>
      <c r="F156" t="s">
        <v>1630</v>
      </c>
      <c r="G156" t="s">
        <v>1630</v>
      </c>
      <c r="H156" t="s">
        <v>1630</v>
      </c>
      <c r="I156" t="s">
        <v>1630</v>
      </c>
      <c r="J156" t="s">
        <v>1630</v>
      </c>
      <c r="K156" t="s">
        <v>1630</v>
      </c>
      <c r="L156" t="s">
        <v>1630</v>
      </c>
      <c r="M156" t="s">
        <v>1631</v>
      </c>
      <c r="O156" t="s">
        <v>1631</v>
      </c>
      <c r="Q156" t="s">
        <v>1630</v>
      </c>
      <c r="R156" t="s">
        <v>1631</v>
      </c>
      <c r="S156" t="s">
        <v>1630</v>
      </c>
      <c r="T156" t="s">
        <v>1630</v>
      </c>
      <c r="U156" t="s">
        <v>1630</v>
      </c>
      <c r="V156" t="s">
        <v>1630</v>
      </c>
      <c r="W156" t="s">
        <v>1631</v>
      </c>
      <c r="X156" t="s">
        <v>1631</v>
      </c>
    </row>
    <row r="157" spans="1:24" x14ac:dyDescent="0.2">
      <c r="A157" s="144"/>
      <c r="B157">
        <v>128</v>
      </c>
      <c r="C157" t="s">
        <v>1517</v>
      </c>
      <c r="D157" t="s">
        <v>1518</v>
      </c>
      <c r="E157" t="s">
        <v>1630</v>
      </c>
      <c r="F157" t="s">
        <v>1630</v>
      </c>
      <c r="G157" t="s">
        <v>1630</v>
      </c>
      <c r="H157" t="s">
        <v>1630</v>
      </c>
      <c r="I157" t="s">
        <v>1630</v>
      </c>
      <c r="J157" t="s">
        <v>1630</v>
      </c>
      <c r="K157" t="s">
        <v>1630</v>
      </c>
      <c r="L157" t="s">
        <v>1631</v>
      </c>
      <c r="M157" t="s">
        <v>1631</v>
      </c>
      <c r="N157" t="s">
        <v>1631</v>
      </c>
      <c r="Q157" t="s">
        <v>1630</v>
      </c>
      <c r="R157" t="s">
        <v>1630</v>
      </c>
      <c r="S157" t="s">
        <v>1630</v>
      </c>
      <c r="T157" t="s">
        <v>1630</v>
      </c>
      <c r="U157" t="s">
        <v>1631</v>
      </c>
      <c r="W157" t="s">
        <v>1630</v>
      </c>
      <c r="X157" t="s">
        <v>1631</v>
      </c>
    </row>
    <row r="158" spans="1:24" x14ac:dyDescent="0.2">
      <c r="A158" s="144"/>
      <c r="B158">
        <v>129</v>
      </c>
      <c r="C158" t="s">
        <v>1527</v>
      </c>
      <c r="D158" t="s">
        <v>1528</v>
      </c>
      <c r="E158" t="s">
        <v>1631</v>
      </c>
      <c r="F158" t="s">
        <v>1631</v>
      </c>
      <c r="G158" t="s">
        <v>1630</v>
      </c>
      <c r="H158" t="s">
        <v>1631</v>
      </c>
      <c r="I158" t="s">
        <v>1631</v>
      </c>
      <c r="J158" t="s">
        <v>1630</v>
      </c>
      <c r="K158" t="s">
        <v>1630</v>
      </c>
      <c r="L158" t="s">
        <v>1631</v>
      </c>
      <c r="M158" t="s">
        <v>1631</v>
      </c>
      <c r="O158" t="s">
        <v>1631</v>
      </c>
      <c r="Q158" t="s">
        <v>1630</v>
      </c>
      <c r="R158" t="s">
        <v>1630</v>
      </c>
      <c r="S158" t="s">
        <v>1630</v>
      </c>
      <c r="T158" t="s">
        <v>1631</v>
      </c>
      <c r="U158" t="s">
        <v>1630</v>
      </c>
      <c r="V158" t="s">
        <v>1631</v>
      </c>
      <c r="W158" t="s">
        <v>1630</v>
      </c>
      <c r="X158" t="s">
        <v>1630</v>
      </c>
    </row>
    <row r="159" spans="1:24" x14ac:dyDescent="0.2">
      <c r="A159" s="144"/>
      <c r="B159">
        <v>91</v>
      </c>
      <c r="C159" t="s">
        <v>1537</v>
      </c>
      <c r="D159" t="s">
        <v>1538</v>
      </c>
      <c r="E159" t="s">
        <v>1630</v>
      </c>
      <c r="F159" t="s">
        <v>1630</v>
      </c>
      <c r="G159" t="s">
        <v>1630</v>
      </c>
      <c r="H159" t="s">
        <v>1630</v>
      </c>
      <c r="I159" t="s">
        <v>1630</v>
      </c>
      <c r="J159" t="s">
        <v>1630</v>
      </c>
      <c r="K159" t="s">
        <v>1630</v>
      </c>
      <c r="L159" t="s">
        <v>1631</v>
      </c>
      <c r="M159" t="s">
        <v>1631</v>
      </c>
      <c r="P159" t="s">
        <v>1631</v>
      </c>
      <c r="Q159" t="s">
        <v>1630</v>
      </c>
      <c r="R159" t="s">
        <v>1631</v>
      </c>
      <c r="S159" t="s">
        <v>1630</v>
      </c>
      <c r="T159" t="s">
        <v>1630</v>
      </c>
      <c r="U159" t="s">
        <v>1630</v>
      </c>
      <c r="V159" t="s">
        <v>1630</v>
      </c>
      <c r="W159" t="s">
        <v>1630</v>
      </c>
      <c r="X159" t="s">
        <v>1631</v>
      </c>
    </row>
    <row r="160" spans="1:24" x14ac:dyDescent="0.2">
      <c r="A160" s="144"/>
      <c r="B160">
        <v>126</v>
      </c>
      <c r="C160" t="s">
        <v>1546</v>
      </c>
      <c r="D160" t="s">
        <v>858</v>
      </c>
      <c r="E160" t="s">
        <v>1631</v>
      </c>
      <c r="F160" t="s">
        <v>1631</v>
      </c>
      <c r="G160" t="s">
        <v>1630</v>
      </c>
      <c r="H160" t="s">
        <v>1631</v>
      </c>
      <c r="I160" t="s">
        <v>1631</v>
      </c>
      <c r="J160" t="s">
        <v>1630</v>
      </c>
      <c r="K160" t="s">
        <v>1630</v>
      </c>
      <c r="L160" t="s">
        <v>1631</v>
      </c>
      <c r="M160" t="s">
        <v>1630</v>
      </c>
      <c r="P160" t="s">
        <v>1631</v>
      </c>
      <c r="Q160" t="s">
        <v>1630</v>
      </c>
      <c r="R160" t="s">
        <v>1630</v>
      </c>
      <c r="S160" t="s">
        <v>1630</v>
      </c>
      <c r="T160" t="s">
        <v>1631</v>
      </c>
      <c r="U160" t="s">
        <v>1630</v>
      </c>
      <c r="W160" t="s">
        <v>1630</v>
      </c>
      <c r="X160" t="s">
        <v>1631</v>
      </c>
    </row>
    <row r="161" spans="1:24" x14ac:dyDescent="0.2">
      <c r="A161" s="144"/>
      <c r="B161">
        <v>42</v>
      </c>
      <c r="C161" t="s">
        <v>1552</v>
      </c>
      <c r="D161" t="s">
        <v>1553</v>
      </c>
      <c r="E161" t="s">
        <v>1630</v>
      </c>
      <c r="F161" t="s">
        <v>1630</v>
      </c>
      <c r="G161" t="s">
        <v>1630</v>
      </c>
      <c r="H161" t="s">
        <v>1630</v>
      </c>
      <c r="I161" t="s">
        <v>1630</v>
      </c>
      <c r="J161" t="s">
        <v>1630</v>
      </c>
      <c r="K161" t="s">
        <v>1630</v>
      </c>
      <c r="L161" t="s">
        <v>1630</v>
      </c>
      <c r="M161" t="s">
        <v>1631</v>
      </c>
      <c r="N161" t="s">
        <v>1631</v>
      </c>
      <c r="Q161" t="s">
        <v>1630</v>
      </c>
      <c r="R161" t="s">
        <v>1630</v>
      </c>
      <c r="S161" t="s">
        <v>1630</v>
      </c>
      <c r="T161" t="s">
        <v>1630</v>
      </c>
      <c r="U161" t="s">
        <v>1630</v>
      </c>
      <c r="V161" t="s">
        <v>1630</v>
      </c>
      <c r="W161" t="s">
        <v>1630</v>
      </c>
      <c r="X161" t="s">
        <v>1631</v>
      </c>
    </row>
    <row r="162" spans="1:24" x14ac:dyDescent="0.2">
      <c r="A162" s="144"/>
      <c r="B162">
        <v>125</v>
      </c>
      <c r="C162" t="s">
        <v>1559</v>
      </c>
      <c r="D162" t="s">
        <v>1560</v>
      </c>
      <c r="E162" t="s">
        <v>1630</v>
      </c>
      <c r="F162" t="s">
        <v>1631</v>
      </c>
      <c r="G162" t="s">
        <v>1630</v>
      </c>
      <c r="H162" t="s">
        <v>1630</v>
      </c>
      <c r="I162" t="s">
        <v>1630</v>
      </c>
      <c r="J162" t="s">
        <v>1630</v>
      </c>
      <c r="K162" t="s">
        <v>1630</v>
      </c>
      <c r="L162" t="s">
        <v>1631</v>
      </c>
      <c r="M162" t="s">
        <v>1630</v>
      </c>
      <c r="O162" t="s">
        <v>1631</v>
      </c>
      <c r="Q162" t="s">
        <v>1630</v>
      </c>
      <c r="R162" t="s">
        <v>1630</v>
      </c>
      <c r="S162" t="s">
        <v>1630</v>
      </c>
      <c r="T162" t="s">
        <v>1630</v>
      </c>
      <c r="U162" t="s">
        <v>1630</v>
      </c>
      <c r="W162" t="s">
        <v>1630</v>
      </c>
      <c r="X162" t="s">
        <v>1631</v>
      </c>
    </row>
    <row r="163" spans="1:24" x14ac:dyDescent="0.2">
      <c r="A163" s="144"/>
      <c r="B163">
        <v>135</v>
      </c>
      <c r="C163" t="s">
        <v>1570</v>
      </c>
      <c r="D163" t="s">
        <v>1571</v>
      </c>
      <c r="E163" t="s">
        <v>1630</v>
      </c>
      <c r="F163" t="s">
        <v>1631</v>
      </c>
      <c r="G163" t="s">
        <v>1630</v>
      </c>
      <c r="H163" t="s">
        <v>1630</v>
      </c>
      <c r="I163" t="s">
        <v>1630</v>
      </c>
      <c r="J163" t="s">
        <v>1630</v>
      </c>
      <c r="K163" t="s">
        <v>1630</v>
      </c>
      <c r="L163" t="s">
        <v>1631</v>
      </c>
      <c r="M163" t="s">
        <v>1631</v>
      </c>
      <c r="P163" t="s">
        <v>1631</v>
      </c>
      <c r="Q163" t="s">
        <v>1630</v>
      </c>
      <c r="R163" t="s">
        <v>1630</v>
      </c>
      <c r="S163" t="s">
        <v>1630</v>
      </c>
      <c r="T163" t="s">
        <v>1631</v>
      </c>
      <c r="U163" t="s">
        <v>1630</v>
      </c>
      <c r="W163" t="s">
        <v>1630</v>
      </c>
      <c r="X163" t="s">
        <v>1631</v>
      </c>
    </row>
    <row r="164" spans="1:24" x14ac:dyDescent="0.2">
      <c r="A164" s="144"/>
      <c r="B164" s="74">
        <v>81</v>
      </c>
      <c r="C164" s="74" t="s">
        <v>1584</v>
      </c>
      <c r="D164" s="74" t="s">
        <v>1585</v>
      </c>
      <c r="E164" s="74" t="s">
        <v>1631</v>
      </c>
      <c r="F164" s="74" t="s">
        <v>1631</v>
      </c>
      <c r="G164" s="74" t="s">
        <v>1630</v>
      </c>
      <c r="H164" s="74" t="s">
        <v>1630</v>
      </c>
      <c r="I164" s="74" t="s">
        <v>1631</v>
      </c>
      <c r="J164" s="74" t="s">
        <v>1630</v>
      </c>
      <c r="K164" s="74" t="s">
        <v>1630</v>
      </c>
      <c r="L164" s="74" t="s">
        <v>1630</v>
      </c>
      <c r="M164" s="74" t="s">
        <v>1631</v>
      </c>
      <c r="O164" t="s">
        <v>1631</v>
      </c>
      <c r="Q164" s="74" t="s">
        <v>1630</v>
      </c>
      <c r="R164" s="74" t="s">
        <v>1630</v>
      </c>
      <c r="S164" s="74" t="s">
        <v>1630</v>
      </c>
      <c r="T164" s="74" t="s">
        <v>1630</v>
      </c>
      <c r="U164" s="74" t="s">
        <v>1631</v>
      </c>
      <c r="V164" s="74" t="s">
        <v>1630</v>
      </c>
      <c r="W164" s="74" t="s">
        <v>1631</v>
      </c>
      <c r="X164" s="74" t="s">
        <v>1630</v>
      </c>
    </row>
    <row r="165" spans="1:24" x14ac:dyDescent="0.2">
      <c r="A165" s="144"/>
      <c r="B165" t="s">
        <v>1637</v>
      </c>
      <c r="C165">
        <f>COUNT(B150:B164)</f>
        <v>15</v>
      </c>
      <c r="D165" s="77" t="s">
        <v>1609</v>
      </c>
      <c r="E165" s="77">
        <f>COUNTIF(E150:E164, "\gcheck")</f>
        <v>5</v>
      </c>
      <c r="F165" s="77">
        <f t="shared" ref="F165:W165" si="10">COUNTIF(F150:F164, "\gcheck")</f>
        <v>9</v>
      </c>
      <c r="G165" s="77">
        <f t="shared" si="10"/>
        <v>2</v>
      </c>
      <c r="H165" s="77">
        <f t="shared" si="10"/>
        <v>4</v>
      </c>
      <c r="I165" s="77">
        <f t="shared" si="10"/>
        <v>6</v>
      </c>
      <c r="J165" s="77">
        <f t="shared" si="10"/>
        <v>0</v>
      </c>
      <c r="K165" s="77">
        <f t="shared" si="10"/>
        <v>0</v>
      </c>
      <c r="L165" s="77">
        <f t="shared" si="10"/>
        <v>12</v>
      </c>
      <c r="M165" s="77">
        <f t="shared" si="10"/>
        <v>11</v>
      </c>
      <c r="N165" s="77">
        <f t="shared" si="10"/>
        <v>4</v>
      </c>
      <c r="O165" s="77">
        <f t="shared" si="10"/>
        <v>4</v>
      </c>
      <c r="P165" s="77">
        <f t="shared" si="10"/>
        <v>6</v>
      </c>
      <c r="Q165" s="77">
        <f t="shared" si="10"/>
        <v>0</v>
      </c>
      <c r="R165" s="77">
        <f t="shared" si="10"/>
        <v>5</v>
      </c>
      <c r="S165" s="77">
        <f t="shared" si="10"/>
        <v>0</v>
      </c>
      <c r="T165" s="77">
        <f t="shared" si="10"/>
        <v>4</v>
      </c>
      <c r="U165" s="77">
        <f t="shared" si="10"/>
        <v>2</v>
      </c>
      <c r="V165" s="77">
        <f t="shared" si="10"/>
        <v>2</v>
      </c>
      <c r="W165" s="77">
        <f t="shared" si="10"/>
        <v>2</v>
      </c>
      <c r="X165" s="77">
        <f>COUNTIF(X150:X164, "\gcheck")</f>
        <v>12</v>
      </c>
    </row>
    <row r="166" spans="1:24" x14ac:dyDescent="0.2">
      <c r="A166" s="145"/>
      <c r="B166" s="74"/>
      <c r="C166" s="74"/>
      <c r="D166" s="77" t="s">
        <v>1635</v>
      </c>
      <c r="E166" s="75">
        <f>ROUND(E165/$C$165*100,2)</f>
        <v>33.33</v>
      </c>
      <c r="F166" s="75">
        <f t="shared" ref="F166:X166" si="11">ROUND(F165/$C$165*100,2)</f>
        <v>60</v>
      </c>
      <c r="G166" s="75">
        <f t="shared" si="11"/>
        <v>13.33</v>
      </c>
      <c r="H166" s="75">
        <f t="shared" si="11"/>
        <v>26.67</v>
      </c>
      <c r="I166" s="75">
        <f t="shared" si="11"/>
        <v>40</v>
      </c>
      <c r="J166" s="75">
        <f t="shared" si="11"/>
        <v>0</v>
      </c>
      <c r="K166" s="75">
        <f t="shared" si="11"/>
        <v>0</v>
      </c>
      <c r="L166" s="75">
        <f t="shared" si="11"/>
        <v>80</v>
      </c>
      <c r="M166" s="75">
        <f t="shared" si="11"/>
        <v>73.33</v>
      </c>
      <c r="N166" s="75">
        <f t="shared" si="11"/>
        <v>26.67</v>
      </c>
      <c r="O166" s="75">
        <f t="shared" si="11"/>
        <v>26.67</v>
      </c>
      <c r="P166" s="75">
        <f t="shared" si="11"/>
        <v>40</v>
      </c>
      <c r="Q166" s="75">
        <f t="shared" si="11"/>
        <v>0</v>
      </c>
      <c r="R166" s="75">
        <f t="shared" si="11"/>
        <v>33.33</v>
      </c>
      <c r="S166" s="75">
        <f t="shared" si="11"/>
        <v>0</v>
      </c>
      <c r="T166" s="75">
        <f t="shared" si="11"/>
        <v>26.67</v>
      </c>
      <c r="U166" s="75">
        <f t="shared" si="11"/>
        <v>13.33</v>
      </c>
      <c r="V166" s="75">
        <f t="shared" si="11"/>
        <v>13.33</v>
      </c>
      <c r="W166" s="75">
        <f t="shared" si="11"/>
        <v>13.33</v>
      </c>
      <c r="X166" s="75">
        <f t="shared" si="11"/>
        <v>80</v>
      </c>
    </row>
    <row r="167" spans="1:24" x14ac:dyDescent="0.2">
      <c r="A167" s="140"/>
      <c r="B167" s="74">
        <v>16</v>
      </c>
      <c r="C167" s="74" t="s">
        <v>1594</v>
      </c>
      <c r="D167" s="74" t="s">
        <v>1595</v>
      </c>
      <c r="E167" s="74" t="s">
        <v>1630</v>
      </c>
      <c r="F167" s="74" t="s">
        <v>1630</v>
      </c>
      <c r="G167" s="74" t="s">
        <v>1630</v>
      </c>
      <c r="H167" s="74" t="s">
        <v>1630</v>
      </c>
      <c r="I167" s="74" t="s">
        <v>1631</v>
      </c>
      <c r="J167" s="74" t="s">
        <v>1630</v>
      </c>
      <c r="K167" s="74" t="s">
        <v>1631</v>
      </c>
      <c r="L167" s="74" t="s">
        <v>1630</v>
      </c>
      <c r="M167" s="74" t="s">
        <v>1631</v>
      </c>
      <c r="N167" t="s">
        <v>1631</v>
      </c>
      <c r="O167" t="s">
        <v>1631</v>
      </c>
      <c r="P167" t="s">
        <v>1631</v>
      </c>
      <c r="Q167" s="74" t="s">
        <v>1631</v>
      </c>
      <c r="R167" s="74" t="s">
        <v>1630</v>
      </c>
      <c r="S167" s="74" t="s">
        <v>1630</v>
      </c>
      <c r="T167" s="74" t="s">
        <v>1630</v>
      </c>
      <c r="U167" s="74" t="s">
        <v>1630</v>
      </c>
      <c r="V167" s="74" t="s">
        <v>1631</v>
      </c>
      <c r="W167" s="74" t="s">
        <v>1630</v>
      </c>
      <c r="X167" s="74" t="s">
        <v>1630</v>
      </c>
    </row>
    <row r="168" spans="1:24" x14ac:dyDescent="0.2">
      <c r="A168" s="140"/>
      <c r="B168" t="s">
        <v>1637</v>
      </c>
      <c r="C168" s="75">
        <f>COUNT(B167:B167)</f>
        <v>1</v>
      </c>
      <c r="D168" s="75" t="s">
        <v>1609</v>
      </c>
      <c r="E168" s="75">
        <f t="shared" ref="E168:X168" si="12">COUNTIF(E167:E167, "\gcheck")</f>
        <v>0</v>
      </c>
      <c r="F168" s="75">
        <f t="shared" si="12"/>
        <v>0</v>
      </c>
      <c r="G168" s="75">
        <f t="shared" si="12"/>
        <v>0</v>
      </c>
      <c r="H168" s="75">
        <f t="shared" si="12"/>
        <v>0</v>
      </c>
      <c r="I168" s="75">
        <f t="shared" si="12"/>
        <v>1</v>
      </c>
      <c r="J168" s="75">
        <f t="shared" si="12"/>
        <v>0</v>
      </c>
      <c r="K168" s="75">
        <f t="shared" si="12"/>
        <v>1</v>
      </c>
      <c r="L168" s="75">
        <f t="shared" si="12"/>
        <v>0</v>
      </c>
      <c r="M168" s="75">
        <f t="shared" si="12"/>
        <v>1</v>
      </c>
      <c r="N168" s="75">
        <f t="shared" si="12"/>
        <v>1</v>
      </c>
      <c r="O168" s="75">
        <f t="shared" si="12"/>
        <v>1</v>
      </c>
      <c r="P168" s="75">
        <f t="shared" si="12"/>
        <v>1</v>
      </c>
      <c r="Q168" s="75">
        <f t="shared" si="12"/>
        <v>1</v>
      </c>
      <c r="R168" s="75">
        <f t="shared" si="12"/>
        <v>0</v>
      </c>
      <c r="S168" s="75">
        <f t="shared" si="12"/>
        <v>0</v>
      </c>
      <c r="T168" s="75">
        <f t="shared" si="12"/>
        <v>0</v>
      </c>
      <c r="U168" s="75">
        <f t="shared" si="12"/>
        <v>0</v>
      </c>
      <c r="V168" s="75">
        <f t="shared" si="12"/>
        <v>1</v>
      </c>
      <c r="W168" s="75">
        <f t="shared" si="12"/>
        <v>0</v>
      </c>
      <c r="X168" s="75">
        <f t="shared" si="12"/>
        <v>0</v>
      </c>
    </row>
    <row r="169" spans="1:24" ht="17" thickBot="1" x14ac:dyDescent="0.25">
      <c r="A169" s="146"/>
      <c r="B169" s="78"/>
      <c r="C169" s="78"/>
      <c r="D169" s="78" t="s">
        <v>1635</v>
      </c>
      <c r="E169" s="78">
        <f>ROUND(E168/$C$168*100,2)</f>
        <v>0</v>
      </c>
      <c r="F169" s="78">
        <f t="shared" ref="F169:X169" si="13">ROUND(F168/$C$168*100,2)</f>
        <v>0</v>
      </c>
      <c r="G169" s="78">
        <f t="shared" si="13"/>
        <v>0</v>
      </c>
      <c r="H169" s="78">
        <f t="shared" si="13"/>
        <v>0</v>
      </c>
      <c r="I169" s="78">
        <f t="shared" si="13"/>
        <v>100</v>
      </c>
      <c r="J169" s="78">
        <f t="shared" si="13"/>
        <v>0</v>
      </c>
      <c r="K169" s="78">
        <f t="shared" si="13"/>
        <v>100</v>
      </c>
      <c r="L169" s="78">
        <f t="shared" si="13"/>
        <v>0</v>
      </c>
      <c r="M169" s="78">
        <f t="shared" si="13"/>
        <v>100</v>
      </c>
      <c r="N169" s="78">
        <f t="shared" si="13"/>
        <v>100</v>
      </c>
      <c r="O169" s="78">
        <f t="shared" si="13"/>
        <v>100</v>
      </c>
      <c r="P169" s="78">
        <f t="shared" si="13"/>
        <v>100</v>
      </c>
      <c r="Q169" s="78">
        <f t="shared" si="13"/>
        <v>100</v>
      </c>
      <c r="R169" s="78">
        <f t="shared" si="13"/>
        <v>0</v>
      </c>
      <c r="S169" s="78">
        <f t="shared" si="13"/>
        <v>0</v>
      </c>
      <c r="T169" s="78">
        <f t="shared" si="13"/>
        <v>0</v>
      </c>
      <c r="U169" s="78">
        <f t="shared" si="13"/>
        <v>0</v>
      </c>
      <c r="V169" s="78">
        <f t="shared" si="13"/>
        <v>100</v>
      </c>
      <c r="W169" s="78">
        <f t="shared" si="13"/>
        <v>0</v>
      </c>
      <c r="X169" s="78">
        <f t="shared" si="13"/>
        <v>0</v>
      </c>
    </row>
    <row r="170" spans="1:24" ht="17" thickTop="1" x14ac:dyDescent="0.2">
      <c r="A170" s="82" t="s">
        <v>1639</v>
      </c>
      <c r="B170" s="82" t="s">
        <v>1609</v>
      </c>
      <c r="C170" s="84" t="s">
        <v>1635</v>
      </c>
      <c r="D170" t="s">
        <v>1609</v>
      </c>
      <c r="E170">
        <f t="shared" ref="E170:X170" si="14">COUNTIF(E2:E168, "\gcheck")</f>
        <v>25</v>
      </c>
      <c r="F170">
        <f t="shared" si="14"/>
        <v>65</v>
      </c>
      <c r="G170">
        <f t="shared" si="14"/>
        <v>4</v>
      </c>
      <c r="H170">
        <f t="shared" si="14"/>
        <v>21</v>
      </c>
      <c r="I170">
        <f t="shared" si="14"/>
        <v>90</v>
      </c>
      <c r="J170">
        <f t="shared" si="14"/>
        <v>5</v>
      </c>
      <c r="K170">
        <f t="shared" si="14"/>
        <v>41</v>
      </c>
      <c r="L170">
        <f t="shared" si="14"/>
        <v>90</v>
      </c>
      <c r="M170">
        <f t="shared" si="14"/>
        <v>95</v>
      </c>
      <c r="N170">
        <f t="shared" si="14"/>
        <v>42</v>
      </c>
      <c r="O170">
        <f t="shared" si="14"/>
        <v>56</v>
      </c>
      <c r="P170">
        <f t="shared" si="14"/>
        <v>50</v>
      </c>
      <c r="Q170">
        <f t="shared" si="14"/>
        <v>25</v>
      </c>
      <c r="R170">
        <f t="shared" si="14"/>
        <v>13</v>
      </c>
      <c r="S170">
        <f t="shared" si="14"/>
        <v>10</v>
      </c>
      <c r="T170">
        <f t="shared" si="14"/>
        <v>34</v>
      </c>
      <c r="U170">
        <f t="shared" si="14"/>
        <v>15</v>
      </c>
      <c r="V170">
        <f t="shared" si="14"/>
        <v>56</v>
      </c>
      <c r="W170">
        <f t="shared" si="14"/>
        <v>53</v>
      </c>
      <c r="X170">
        <f t="shared" si="14"/>
        <v>57</v>
      </c>
    </row>
    <row r="171" spans="1:24" x14ac:dyDescent="0.2">
      <c r="A171" s="82" t="s">
        <v>1640</v>
      </c>
      <c r="B171">
        <f>C78</f>
        <v>76</v>
      </c>
      <c r="C171" s="83">
        <f>ROUND(B171/$B$178*100,2)</f>
        <v>49.35</v>
      </c>
      <c r="D171" t="s">
        <v>1635</v>
      </c>
      <c r="E171">
        <f>ROUND(E170/$B$178*100,2)</f>
        <v>16.23</v>
      </c>
      <c r="F171">
        <f t="shared" ref="F171:X171" si="15">ROUND(F170/$B$178*100,2)</f>
        <v>42.21</v>
      </c>
      <c r="G171">
        <f t="shared" si="15"/>
        <v>2.6</v>
      </c>
      <c r="H171">
        <f t="shared" si="15"/>
        <v>13.64</v>
      </c>
      <c r="I171">
        <f t="shared" si="15"/>
        <v>58.44</v>
      </c>
      <c r="J171">
        <f t="shared" si="15"/>
        <v>3.25</v>
      </c>
      <c r="K171">
        <f t="shared" si="15"/>
        <v>26.62</v>
      </c>
      <c r="L171">
        <f t="shared" si="15"/>
        <v>58.44</v>
      </c>
      <c r="M171">
        <f t="shared" si="15"/>
        <v>61.69</v>
      </c>
      <c r="N171">
        <f t="shared" si="15"/>
        <v>27.27</v>
      </c>
      <c r="O171">
        <f t="shared" si="15"/>
        <v>36.36</v>
      </c>
      <c r="P171">
        <f t="shared" si="15"/>
        <v>32.47</v>
      </c>
      <c r="Q171">
        <f t="shared" si="15"/>
        <v>16.23</v>
      </c>
      <c r="R171">
        <f t="shared" si="15"/>
        <v>8.44</v>
      </c>
      <c r="S171">
        <f t="shared" si="15"/>
        <v>6.49</v>
      </c>
      <c r="T171">
        <f t="shared" si="15"/>
        <v>22.08</v>
      </c>
      <c r="U171">
        <f t="shared" si="15"/>
        <v>9.74</v>
      </c>
      <c r="V171">
        <f t="shared" si="15"/>
        <v>36.36</v>
      </c>
      <c r="W171">
        <f t="shared" si="15"/>
        <v>34.42</v>
      </c>
      <c r="X171">
        <f t="shared" si="15"/>
        <v>37.01</v>
      </c>
    </row>
    <row r="172" spans="1:24" x14ac:dyDescent="0.2">
      <c r="A172" s="82" t="s">
        <v>1641</v>
      </c>
      <c r="B172">
        <f>C86</f>
        <v>6</v>
      </c>
      <c r="C172" s="83">
        <f t="shared" ref="C172:C177" si="16">ROUND(B172/$B$178*100,2)</f>
        <v>3.9</v>
      </c>
    </row>
    <row r="173" spans="1:24" x14ac:dyDescent="0.2">
      <c r="A173" s="82" t="s">
        <v>1642</v>
      </c>
      <c r="B173">
        <f>C112</f>
        <v>24</v>
      </c>
      <c r="C173" s="83">
        <f t="shared" si="16"/>
        <v>15.58</v>
      </c>
      <c r="D173" s="82" t="s">
        <v>1643</v>
      </c>
      <c r="E173">
        <f t="shared" ref="E173:X173" si="17">E168+E165+E148+E127+E112+E86+E78</f>
        <v>25</v>
      </c>
      <c r="F173">
        <f t="shared" si="17"/>
        <v>65</v>
      </c>
      <c r="G173">
        <f t="shared" si="17"/>
        <v>4</v>
      </c>
      <c r="H173">
        <f t="shared" si="17"/>
        <v>21</v>
      </c>
      <c r="I173">
        <f t="shared" si="17"/>
        <v>90</v>
      </c>
      <c r="J173">
        <f t="shared" si="17"/>
        <v>5</v>
      </c>
      <c r="K173">
        <f t="shared" si="17"/>
        <v>41</v>
      </c>
      <c r="L173">
        <f t="shared" si="17"/>
        <v>90</v>
      </c>
      <c r="M173">
        <f t="shared" si="17"/>
        <v>95</v>
      </c>
      <c r="N173">
        <f t="shared" si="17"/>
        <v>42</v>
      </c>
      <c r="O173">
        <f t="shared" si="17"/>
        <v>56</v>
      </c>
      <c r="P173">
        <f t="shared" si="17"/>
        <v>50</v>
      </c>
      <c r="Q173">
        <f t="shared" si="17"/>
        <v>25</v>
      </c>
      <c r="R173">
        <f t="shared" si="17"/>
        <v>13</v>
      </c>
      <c r="S173">
        <f t="shared" si="17"/>
        <v>10</v>
      </c>
      <c r="T173">
        <f t="shared" si="17"/>
        <v>34</v>
      </c>
      <c r="U173">
        <f t="shared" si="17"/>
        <v>15</v>
      </c>
      <c r="V173">
        <f t="shared" si="17"/>
        <v>56</v>
      </c>
      <c r="W173">
        <f t="shared" si="17"/>
        <v>53</v>
      </c>
      <c r="X173">
        <f t="shared" si="17"/>
        <v>57</v>
      </c>
    </row>
    <row r="174" spans="1:24" x14ac:dyDescent="0.2">
      <c r="A174" s="82" t="s">
        <v>1644</v>
      </c>
      <c r="B174">
        <f>C127</f>
        <v>13</v>
      </c>
      <c r="C174" s="83">
        <f t="shared" si="16"/>
        <v>8.44</v>
      </c>
      <c r="D174" s="82" t="s">
        <v>1645</v>
      </c>
      <c r="E174" t="b">
        <f>E170=E173</f>
        <v>1</v>
      </c>
      <c r="F174" t="b">
        <f>F170=F173</f>
        <v>1</v>
      </c>
      <c r="G174" t="b">
        <f t="shared" ref="G174:X174" si="18">G170=G173</f>
        <v>1</v>
      </c>
      <c r="H174" t="b">
        <f t="shared" si="18"/>
        <v>1</v>
      </c>
      <c r="I174" t="b">
        <f t="shared" si="18"/>
        <v>1</v>
      </c>
      <c r="J174" t="b">
        <f t="shared" si="18"/>
        <v>1</v>
      </c>
      <c r="K174" t="b">
        <f t="shared" si="18"/>
        <v>1</v>
      </c>
      <c r="L174" t="b">
        <f t="shared" si="18"/>
        <v>1</v>
      </c>
      <c r="M174" t="b">
        <f t="shared" si="18"/>
        <v>1</v>
      </c>
      <c r="N174" t="b">
        <f t="shared" si="18"/>
        <v>1</v>
      </c>
      <c r="O174" t="b">
        <f t="shared" si="18"/>
        <v>1</v>
      </c>
      <c r="P174" t="b">
        <f t="shared" si="18"/>
        <v>1</v>
      </c>
      <c r="Q174" t="b">
        <f t="shared" si="18"/>
        <v>1</v>
      </c>
      <c r="R174" t="b">
        <f t="shared" si="18"/>
        <v>1</v>
      </c>
      <c r="S174" t="b">
        <f t="shared" si="18"/>
        <v>1</v>
      </c>
      <c r="T174" t="b">
        <f t="shared" si="18"/>
        <v>1</v>
      </c>
      <c r="U174" t="b">
        <f t="shared" si="18"/>
        <v>1</v>
      </c>
      <c r="V174" t="b">
        <f t="shared" si="18"/>
        <v>1</v>
      </c>
      <c r="W174" t="b">
        <f t="shared" si="18"/>
        <v>1</v>
      </c>
      <c r="X174" t="b">
        <f t="shared" si="18"/>
        <v>1</v>
      </c>
    </row>
    <row r="175" spans="1:24" x14ac:dyDescent="0.2">
      <c r="A175" s="82" t="s">
        <v>1646</v>
      </c>
      <c r="B175">
        <f>C148</f>
        <v>19</v>
      </c>
      <c r="C175" s="83">
        <f t="shared" si="16"/>
        <v>12.34</v>
      </c>
      <c r="D175" s="82" t="s">
        <v>1647</v>
      </c>
    </row>
    <row r="176" spans="1:24" x14ac:dyDescent="0.2">
      <c r="A176" s="82" t="s">
        <v>1648</v>
      </c>
      <c r="B176">
        <f>C165</f>
        <v>15</v>
      </c>
      <c r="C176" s="83">
        <f t="shared" si="16"/>
        <v>9.74</v>
      </c>
    </row>
    <row r="177" spans="1:3" x14ac:dyDescent="0.2">
      <c r="A177" s="82" t="s">
        <v>1593</v>
      </c>
      <c r="B177">
        <f>C168</f>
        <v>1</v>
      </c>
      <c r="C177" s="83">
        <f t="shared" si="16"/>
        <v>0.65</v>
      </c>
    </row>
    <row r="178" spans="1:3" x14ac:dyDescent="0.2">
      <c r="B178">
        <f>SUM(B171:B177)</f>
        <v>154</v>
      </c>
      <c r="C178" s="83">
        <f>SUM(C171:C177)</f>
        <v>100</v>
      </c>
    </row>
  </sheetData>
  <mergeCells count="7">
    <mergeCell ref="A2:A79"/>
    <mergeCell ref="A80:A87"/>
    <mergeCell ref="A88:A113"/>
    <mergeCell ref="A114:A128"/>
    <mergeCell ref="A167:A169"/>
    <mergeCell ref="A150:A166"/>
    <mergeCell ref="A129:A1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892A4-AE00-2640-9558-03E697A83096}">
  <dimension ref="A1:P162"/>
  <sheetViews>
    <sheetView zoomScale="179" workbookViewId="0">
      <pane xSplit="4" ySplit="2" topLeftCell="E3" activePane="bottomRight" state="frozen"/>
      <selection pane="topRight" activeCell="E1" sqref="E1"/>
      <selection pane="bottomLeft" activeCell="A3" sqref="A3"/>
      <selection pane="bottomRight" activeCell="N157" sqref="N157"/>
    </sheetView>
  </sheetViews>
  <sheetFormatPr baseColWidth="10" defaultColWidth="11" defaultRowHeight="16" x14ac:dyDescent="0.2"/>
  <cols>
    <col min="1" max="1" width="18.6640625" customWidth="1"/>
  </cols>
  <sheetData>
    <row r="1" spans="1:16" x14ac:dyDescent="0.2">
      <c r="A1" s="147" t="s">
        <v>0</v>
      </c>
      <c r="B1" s="147"/>
      <c r="C1" s="147"/>
      <c r="D1" s="147"/>
      <c r="E1" s="147" t="s">
        <v>1649</v>
      </c>
      <c r="F1" s="147"/>
      <c r="G1" s="147"/>
      <c r="H1" s="147"/>
      <c r="I1" s="147"/>
      <c r="J1" s="147"/>
      <c r="K1" s="147"/>
      <c r="L1" s="147"/>
      <c r="M1" s="147"/>
      <c r="N1" s="147"/>
      <c r="O1" s="147"/>
      <c r="P1" s="147"/>
    </row>
    <row r="2" spans="1:16" x14ac:dyDescent="0.2">
      <c r="A2" t="s">
        <v>5</v>
      </c>
      <c r="B2" t="s">
        <v>6</v>
      </c>
      <c r="C2" t="s">
        <v>7</v>
      </c>
      <c r="D2" t="s">
        <v>8</v>
      </c>
      <c r="E2" t="s">
        <v>1650</v>
      </c>
      <c r="F2" t="s">
        <v>1651</v>
      </c>
      <c r="G2" t="s">
        <v>1652</v>
      </c>
      <c r="H2" t="s">
        <v>1653</v>
      </c>
      <c r="I2" t="s">
        <v>1654</v>
      </c>
      <c r="J2" t="s">
        <v>19</v>
      </c>
      <c r="K2" t="s">
        <v>1655</v>
      </c>
      <c r="L2" t="s">
        <v>1656</v>
      </c>
      <c r="M2" t="s">
        <v>1657</v>
      </c>
      <c r="N2" t="s">
        <v>1619</v>
      </c>
      <c r="O2" t="s">
        <v>1658</v>
      </c>
      <c r="P2" t="s">
        <v>81</v>
      </c>
    </row>
    <row r="3" spans="1:16" x14ac:dyDescent="0.2">
      <c r="A3" s="148" t="s">
        <v>49</v>
      </c>
      <c r="B3">
        <v>66</v>
      </c>
      <c r="C3" t="s">
        <v>50</v>
      </c>
      <c r="D3" t="s">
        <v>51</v>
      </c>
      <c r="E3" t="s">
        <v>1630</v>
      </c>
      <c r="F3" t="s">
        <v>1630</v>
      </c>
      <c r="G3" t="s">
        <v>1630</v>
      </c>
      <c r="H3" t="s">
        <v>1630</v>
      </c>
      <c r="I3" t="s">
        <v>59</v>
      </c>
      <c r="J3" t="s">
        <v>1630</v>
      </c>
      <c r="K3" t="s">
        <v>1630</v>
      </c>
      <c r="L3" t="s">
        <v>1630</v>
      </c>
      <c r="M3" t="s">
        <v>1630</v>
      </c>
      <c r="N3" t="s">
        <v>59</v>
      </c>
      <c r="O3" t="s">
        <v>59</v>
      </c>
      <c r="P3" t="s">
        <v>1630</v>
      </c>
    </row>
    <row r="4" spans="1:16" x14ac:dyDescent="0.2">
      <c r="A4" s="148"/>
      <c r="B4">
        <v>94</v>
      </c>
      <c r="C4" t="s">
        <v>70</v>
      </c>
      <c r="D4" t="s">
        <v>51</v>
      </c>
      <c r="E4" t="s">
        <v>1630</v>
      </c>
      <c r="F4" t="s">
        <v>1630</v>
      </c>
      <c r="G4" t="s">
        <v>1630</v>
      </c>
      <c r="H4" t="s">
        <v>1630</v>
      </c>
      <c r="I4" t="s">
        <v>59</v>
      </c>
      <c r="J4" t="s">
        <v>1630</v>
      </c>
      <c r="K4" t="s">
        <v>1630</v>
      </c>
      <c r="L4" t="s">
        <v>1630</v>
      </c>
      <c r="M4" t="s">
        <v>1630</v>
      </c>
      <c r="N4" t="s">
        <v>59</v>
      </c>
      <c r="O4" t="s">
        <v>59</v>
      </c>
      <c r="P4" t="s">
        <v>1630</v>
      </c>
    </row>
    <row r="5" spans="1:16" x14ac:dyDescent="0.2">
      <c r="A5" s="148"/>
      <c r="B5">
        <v>5</v>
      </c>
      <c r="C5" t="s">
        <v>83</v>
      </c>
      <c r="D5" t="s">
        <v>84</v>
      </c>
      <c r="E5" t="s">
        <v>59</v>
      </c>
      <c r="F5" t="s">
        <v>1630</v>
      </c>
      <c r="G5" t="s">
        <v>59</v>
      </c>
      <c r="H5" t="s">
        <v>59</v>
      </c>
      <c r="I5" t="s">
        <v>59</v>
      </c>
      <c r="J5" t="s">
        <v>59</v>
      </c>
      <c r="K5" t="s">
        <v>59</v>
      </c>
      <c r="L5" t="s">
        <v>59</v>
      </c>
      <c r="M5" t="s">
        <v>59</v>
      </c>
      <c r="N5" t="s">
        <v>1630</v>
      </c>
      <c r="O5" t="s">
        <v>59</v>
      </c>
      <c r="P5" t="s">
        <v>1630</v>
      </c>
    </row>
    <row r="6" spans="1:16" x14ac:dyDescent="0.2">
      <c r="A6" s="148"/>
      <c r="B6">
        <v>24</v>
      </c>
      <c r="C6" t="s">
        <v>95</v>
      </c>
      <c r="D6" t="s">
        <v>96</v>
      </c>
      <c r="E6" t="s">
        <v>59</v>
      </c>
      <c r="F6" t="s">
        <v>1630</v>
      </c>
      <c r="G6" t="s">
        <v>59</v>
      </c>
      <c r="H6" t="s">
        <v>59</v>
      </c>
      <c r="I6" t="s">
        <v>59</v>
      </c>
      <c r="J6" t="s">
        <v>1630</v>
      </c>
      <c r="K6" t="s">
        <v>1630</v>
      </c>
      <c r="L6" t="s">
        <v>1630</v>
      </c>
      <c r="M6" t="s">
        <v>59</v>
      </c>
      <c r="N6" t="s">
        <v>1630</v>
      </c>
      <c r="O6" t="s">
        <v>1630</v>
      </c>
      <c r="P6" t="s">
        <v>1630</v>
      </c>
    </row>
    <row r="7" spans="1:16" x14ac:dyDescent="0.2">
      <c r="A7" s="148"/>
      <c r="B7">
        <v>25</v>
      </c>
      <c r="C7" t="s">
        <v>113</v>
      </c>
      <c r="D7" t="s">
        <v>114</v>
      </c>
      <c r="E7" t="s">
        <v>59</v>
      </c>
      <c r="F7" t="s">
        <v>1630</v>
      </c>
      <c r="G7" t="s">
        <v>59</v>
      </c>
      <c r="H7" t="s">
        <v>59</v>
      </c>
      <c r="I7" t="s">
        <v>59</v>
      </c>
      <c r="J7" t="s">
        <v>59</v>
      </c>
      <c r="K7" t="s">
        <v>1630</v>
      </c>
      <c r="L7" t="s">
        <v>1630</v>
      </c>
      <c r="M7" t="s">
        <v>1630</v>
      </c>
      <c r="N7" t="s">
        <v>1630</v>
      </c>
      <c r="O7" t="s">
        <v>1630</v>
      </c>
      <c r="P7" t="s">
        <v>1630</v>
      </c>
    </row>
    <row r="8" spans="1:16" x14ac:dyDescent="0.2">
      <c r="A8" s="148"/>
      <c r="B8">
        <v>151</v>
      </c>
      <c r="C8" t="s">
        <v>126</v>
      </c>
      <c r="D8" t="s">
        <v>127</v>
      </c>
      <c r="E8" t="s">
        <v>1630</v>
      </c>
      <c r="F8" t="s">
        <v>1630</v>
      </c>
      <c r="G8" t="s">
        <v>59</v>
      </c>
      <c r="H8" t="s">
        <v>59</v>
      </c>
      <c r="I8" t="s">
        <v>1630</v>
      </c>
      <c r="J8" t="s">
        <v>1630</v>
      </c>
      <c r="K8" t="s">
        <v>1630</v>
      </c>
      <c r="L8" t="s">
        <v>1630</v>
      </c>
      <c r="M8" t="s">
        <v>59</v>
      </c>
      <c r="N8" t="s">
        <v>1630</v>
      </c>
      <c r="O8" t="s">
        <v>1630</v>
      </c>
      <c r="P8" t="s">
        <v>1630</v>
      </c>
    </row>
    <row r="9" spans="1:16" x14ac:dyDescent="0.2">
      <c r="A9" s="148"/>
      <c r="B9">
        <v>59</v>
      </c>
      <c r="C9" t="s">
        <v>141</v>
      </c>
      <c r="D9" t="s">
        <v>142</v>
      </c>
      <c r="E9" t="s">
        <v>1630</v>
      </c>
      <c r="F9" t="s">
        <v>1630</v>
      </c>
      <c r="G9" t="s">
        <v>1630</v>
      </c>
      <c r="H9" t="s">
        <v>1630</v>
      </c>
      <c r="I9" t="s">
        <v>1630</v>
      </c>
      <c r="J9" t="s">
        <v>1630</v>
      </c>
      <c r="K9" t="s">
        <v>1630</v>
      </c>
      <c r="L9" t="s">
        <v>1630</v>
      </c>
      <c r="M9" t="s">
        <v>1630</v>
      </c>
      <c r="N9" t="s">
        <v>59</v>
      </c>
      <c r="O9" t="s">
        <v>1630</v>
      </c>
      <c r="P9" t="s">
        <v>1630</v>
      </c>
    </row>
    <row r="10" spans="1:16" x14ac:dyDescent="0.2">
      <c r="A10" s="148"/>
      <c r="B10">
        <v>39</v>
      </c>
      <c r="C10" t="s">
        <v>154</v>
      </c>
      <c r="D10" t="s">
        <v>155</v>
      </c>
      <c r="E10" t="s">
        <v>1630</v>
      </c>
      <c r="F10" t="s">
        <v>59</v>
      </c>
      <c r="G10" t="s">
        <v>59</v>
      </c>
      <c r="H10" t="s">
        <v>59</v>
      </c>
      <c r="I10" t="s">
        <v>1630</v>
      </c>
      <c r="J10" t="s">
        <v>1630</v>
      </c>
      <c r="K10" t="s">
        <v>1630</v>
      </c>
      <c r="L10" t="s">
        <v>1630</v>
      </c>
      <c r="M10" t="s">
        <v>59</v>
      </c>
      <c r="N10" t="s">
        <v>59</v>
      </c>
      <c r="O10" t="s">
        <v>1630</v>
      </c>
      <c r="P10" t="s">
        <v>1630</v>
      </c>
    </row>
    <row r="11" spans="1:16" x14ac:dyDescent="0.2">
      <c r="A11" s="148"/>
      <c r="B11">
        <v>132</v>
      </c>
      <c r="C11" t="s">
        <v>164</v>
      </c>
      <c r="D11" t="s">
        <v>165</v>
      </c>
      <c r="E11" t="s">
        <v>1630</v>
      </c>
      <c r="F11" t="s">
        <v>1630</v>
      </c>
      <c r="G11" t="s">
        <v>1630</v>
      </c>
      <c r="H11" t="s">
        <v>59</v>
      </c>
      <c r="I11" t="s">
        <v>1630</v>
      </c>
      <c r="J11" t="s">
        <v>1630</v>
      </c>
      <c r="K11" t="s">
        <v>1630</v>
      </c>
      <c r="L11" t="s">
        <v>1630</v>
      </c>
      <c r="M11" t="s">
        <v>1630</v>
      </c>
      <c r="O11" t="s">
        <v>1630</v>
      </c>
      <c r="P11" t="s">
        <v>1630</v>
      </c>
    </row>
    <row r="12" spans="1:16" x14ac:dyDescent="0.2">
      <c r="A12" s="148"/>
      <c r="B12">
        <v>155</v>
      </c>
      <c r="C12" t="s">
        <v>181</v>
      </c>
      <c r="D12" t="s">
        <v>182</v>
      </c>
      <c r="E12" t="s">
        <v>59</v>
      </c>
      <c r="F12" t="s">
        <v>1630</v>
      </c>
      <c r="G12" t="s">
        <v>59</v>
      </c>
      <c r="H12" t="s">
        <v>1630</v>
      </c>
      <c r="I12" t="s">
        <v>59</v>
      </c>
      <c r="J12" t="s">
        <v>59</v>
      </c>
      <c r="K12" t="s">
        <v>1630</v>
      </c>
      <c r="L12" t="s">
        <v>1630</v>
      </c>
      <c r="M12" t="s">
        <v>1630</v>
      </c>
      <c r="N12" t="s">
        <v>1630</v>
      </c>
      <c r="O12" t="s">
        <v>1630</v>
      </c>
      <c r="P12" t="s">
        <v>1630</v>
      </c>
    </row>
    <row r="13" spans="1:16" x14ac:dyDescent="0.2">
      <c r="A13" s="148"/>
      <c r="B13">
        <v>83</v>
      </c>
      <c r="C13" t="s">
        <v>196</v>
      </c>
      <c r="D13" t="s">
        <v>197</v>
      </c>
      <c r="E13" t="s">
        <v>59</v>
      </c>
      <c r="F13" t="s">
        <v>1630</v>
      </c>
      <c r="G13" t="s">
        <v>1630</v>
      </c>
      <c r="H13" t="s">
        <v>1630</v>
      </c>
      <c r="I13" t="s">
        <v>1630</v>
      </c>
      <c r="J13" t="s">
        <v>1630</v>
      </c>
      <c r="K13" t="s">
        <v>1630</v>
      </c>
      <c r="L13" t="s">
        <v>1630</v>
      </c>
      <c r="M13" t="s">
        <v>1630</v>
      </c>
      <c r="N13" t="s">
        <v>59</v>
      </c>
      <c r="O13" t="s">
        <v>1630</v>
      </c>
      <c r="P13" t="s">
        <v>1630</v>
      </c>
    </row>
    <row r="14" spans="1:16" x14ac:dyDescent="0.2">
      <c r="A14" s="148"/>
      <c r="B14">
        <v>99</v>
      </c>
      <c r="C14" t="s">
        <v>205</v>
      </c>
      <c r="D14" t="s">
        <v>206</v>
      </c>
      <c r="E14" t="s">
        <v>59</v>
      </c>
      <c r="F14" t="s">
        <v>1630</v>
      </c>
      <c r="G14" t="s">
        <v>1630</v>
      </c>
      <c r="H14" t="s">
        <v>59</v>
      </c>
      <c r="I14" t="s">
        <v>59</v>
      </c>
      <c r="J14" t="s">
        <v>1630</v>
      </c>
      <c r="K14" t="s">
        <v>1630</v>
      </c>
      <c r="L14" t="s">
        <v>59</v>
      </c>
      <c r="M14" t="s">
        <v>59</v>
      </c>
      <c r="N14" t="s">
        <v>1630</v>
      </c>
      <c r="O14" t="s">
        <v>59</v>
      </c>
      <c r="P14" t="s">
        <v>1630</v>
      </c>
    </row>
    <row r="15" spans="1:16" x14ac:dyDescent="0.2">
      <c r="A15" s="148"/>
      <c r="B15">
        <v>46</v>
      </c>
      <c r="C15" t="s">
        <v>216</v>
      </c>
      <c r="D15" t="s">
        <v>217</v>
      </c>
      <c r="E15" t="s">
        <v>59</v>
      </c>
      <c r="F15" t="s">
        <v>1630</v>
      </c>
      <c r="G15" t="s">
        <v>59</v>
      </c>
      <c r="H15" t="s">
        <v>59</v>
      </c>
      <c r="I15" t="s">
        <v>1630</v>
      </c>
      <c r="J15" t="s">
        <v>1630</v>
      </c>
      <c r="K15" t="s">
        <v>1630</v>
      </c>
      <c r="L15" t="s">
        <v>59</v>
      </c>
      <c r="M15" t="s">
        <v>59</v>
      </c>
      <c r="N15" t="s">
        <v>1630</v>
      </c>
      <c r="O15" t="s">
        <v>1630</v>
      </c>
      <c r="P15" t="s">
        <v>1630</v>
      </c>
    </row>
    <row r="16" spans="1:16" x14ac:dyDescent="0.2">
      <c r="A16" s="148"/>
      <c r="B16">
        <v>87</v>
      </c>
      <c r="C16" t="s">
        <v>228</v>
      </c>
      <c r="D16" t="s">
        <v>229</v>
      </c>
      <c r="E16" t="s">
        <v>59</v>
      </c>
      <c r="F16" t="s">
        <v>1630</v>
      </c>
      <c r="G16" t="s">
        <v>59</v>
      </c>
      <c r="H16" t="s">
        <v>59</v>
      </c>
      <c r="I16" t="s">
        <v>1630</v>
      </c>
      <c r="J16" t="s">
        <v>59</v>
      </c>
      <c r="K16" t="s">
        <v>1630</v>
      </c>
      <c r="L16" t="s">
        <v>59</v>
      </c>
      <c r="M16" t="s">
        <v>59</v>
      </c>
      <c r="N16" t="s">
        <v>1630</v>
      </c>
      <c r="O16" t="s">
        <v>1630</v>
      </c>
      <c r="P16" t="s">
        <v>1630</v>
      </c>
    </row>
    <row r="17" spans="1:16" x14ac:dyDescent="0.2">
      <c r="A17" s="148"/>
      <c r="B17">
        <v>13</v>
      </c>
      <c r="C17" t="s">
        <v>233</v>
      </c>
      <c r="D17" t="s">
        <v>234</v>
      </c>
      <c r="E17" t="s">
        <v>59</v>
      </c>
      <c r="F17" t="s">
        <v>1630</v>
      </c>
      <c r="G17" t="s">
        <v>59</v>
      </c>
      <c r="H17" t="s">
        <v>59</v>
      </c>
      <c r="I17" t="s">
        <v>59</v>
      </c>
      <c r="J17" t="s">
        <v>59</v>
      </c>
      <c r="K17" t="s">
        <v>1630</v>
      </c>
      <c r="L17" t="s">
        <v>1630</v>
      </c>
      <c r="M17" t="s">
        <v>1630</v>
      </c>
      <c r="N17" t="s">
        <v>1630</v>
      </c>
      <c r="O17" t="s">
        <v>1630</v>
      </c>
      <c r="P17" t="s">
        <v>1630</v>
      </c>
    </row>
    <row r="18" spans="1:16" x14ac:dyDescent="0.2">
      <c r="A18" s="148"/>
      <c r="B18">
        <v>14</v>
      </c>
      <c r="C18" t="s">
        <v>242</v>
      </c>
      <c r="D18" t="s">
        <v>243</v>
      </c>
      <c r="E18" t="s">
        <v>1630</v>
      </c>
      <c r="F18" t="s">
        <v>1630</v>
      </c>
      <c r="G18" t="s">
        <v>59</v>
      </c>
      <c r="H18" t="s">
        <v>1630</v>
      </c>
      <c r="I18" t="s">
        <v>59</v>
      </c>
      <c r="J18" t="s">
        <v>1630</v>
      </c>
      <c r="K18" t="s">
        <v>1630</v>
      </c>
      <c r="L18" t="s">
        <v>1630</v>
      </c>
      <c r="M18" t="s">
        <v>1630</v>
      </c>
      <c r="N18" t="s">
        <v>1630</v>
      </c>
      <c r="O18" t="s">
        <v>1630</v>
      </c>
      <c r="P18" t="s">
        <v>1630</v>
      </c>
    </row>
    <row r="19" spans="1:16" x14ac:dyDescent="0.2">
      <c r="A19" s="148"/>
      <c r="B19">
        <v>85</v>
      </c>
      <c r="C19" t="s">
        <v>257</v>
      </c>
      <c r="D19" t="s">
        <v>258</v>
      </c>
      <c r="E19" t="s">
        <v>59</v>
      </c>
      <c r="F19" t="s">
        <v>59</v>
      </c>
      <c r="G19" t="s">
        <v>59</v>
      </c>
      <c r="H19" t="s">
        <v>1630</v>
      </c>
      <c r="I19" t="s">
        <v>59</v>
      </c>
      <c r="J19" t="s">
        <v>1630</v>
      </c>
      <c r="K19" t="s">
        <v>1630</v>
      </c>
      <c r="L19" t="s">
        <v>1630</v>
      </c>
      <c r="M19" t="s">
        <v>1630</v>
      </c>
      <c r="N19" t="s">
        <v>59</v>
      </c>
      <c r="O19" t="s">
        <v>1630</v>
      </c>
      <c r="P19" t="s">
        <v>1630</v>
      </c>
    </row>
    <row r="20" spans="1:16" x14ac:dyDescent="0.2">
      <c r="A20" s="148"/>
      <c r="B20">
        <v>7</v>
      </c>
      <c r="C20" t="s">
        <v>265</v>
      </c>
      <c r="D20" t="s">
        <v>266</v>
      </c>
      <c r="E20" t="s">
        <v>59</v>
      </c>
      <c r="F20" t="s">
        <v>1630</v>
      </c>
      <c r="G20" t="s">
        <v>59</v>
      </c>
      <c r="H20" t="s">
        <v>59</v>
      </c>
      <c r="I20" t="s">
        <v>1630</v>
      </c>
      <c r="J20" t="s">
        <v>1630</v>
      </c>
      <c r="K20" t="s">
        <v>1630</v>
      </c>
      <c r="L20" t="s">
        <v>59</v>
      </c>
      <c r="M20" t="s">
        <v>59</v>
      </c>
      <c r="N20" t="s">
        <v>59</v>
      </c>
      <c r="O20" t="s">
        <v>59</v>
      </c>
      <c r="P20" t="s">
        <v>1630</v>
      </c>
    </row>
    <row r="21" spans="1:16" x14ac:dyDescent="0.2">
      <c r="A21" s="148"/>
      <c r="B21">
        <v>152</v>
      </c>
      <c r="C21" t="s">
        <v>275</v>
      </c>
      <c r="D21" t="s">
        <v>276</v>
      </c>
      <c r="E21" t="s">
        <v>59</v>
      </c>
      <c r="F21" t="s">
        <v>1630</v>
      </c>
      <c r="G21" t="s">
        <v>59</v>
      </c>
      <c r="H21" t="s">
        <v>59</v>
      </c>
      <c r="I21" t="s">
        <v>59</v>
      </c>
      <c r="J21" t="s">
        <v>59</v>
      </c>
      <c r="K21" t="s">
        <v>1630</v>
      </c>
      <c r="L21" t="s">
        <v>1630</v>
      </c>
      <c r="M21" t="s">
        <v>1630</v>
      </c>
      <c r="N21" t="s">
        <v>1630</v>
      </c>
      <c r="O21" t="s">
        <v>59</v>
      </c>
      <c r="P21" t="s">
        <v>1630</v>
      </c>
    </row>
    <row r="22" spans="1:16" x14ac:dyDescent="0.2">
      <c r="A22" s="148"/>
      <c r="B22">
        <v>15</v>
      </c>
      <c r="C22" t="s">
        <v>287</v>
      </c>
      <c r="D22" t="s">
        <v>288</v>
      </c>
      <c r="E22" t="s">
        <v>1630</v>
      </c>
      <c r="F22" t="s">
        <v>1630</v>
      </c>
      <c r="G22" t="s">
        <v>59</v>
      </c>
      <c r="H22" t="s">
        <v>59</v>
      </c>
      <c r="I22" t="s">
        <v>1630</v>
      </c>
      <c r="J22" t="s">
        <v>59</v>
      </c>
      <c r="K22" t="s">
        <v>1630</v>
      </c>
      <c r="L22" t="s">
        <v>1630</v>
      </c>
      <c r="M22" t="s">
        <v>1630</v>
      </c>
      <c r="O22" t="s">
        <v>59</v>
      </c>
      <c r="P22" t="s">
        <v>1630</v>
      </c>
    </row>
    <row r="23" spans="1:16" x14ac:dyDescent="0.2">
      <c r="A23" s="148"/>
      <c r="B23">
        <v>31</v>
      </c>
      <c r="C23" t="s">
        <v>307</v>
      </c>
      <c r="D23" t="s">
        <v>308</v>
      </c>
      <c r="E23" t="s">
        <v>59</v>
      </c>
      <c r="F23" t="s">
        <v>1630</v>
      </c>
      <c r="G23" t="s">
        <v>59</v>
      </c>
      <c r="H23" t="s">
        <v>59</v>
      </c>
      <c r="I23" t="s">
        <v>1630</v>
      </c>
      <c r="J23" t="s">
        <v>59</v>
      </c>
      <c r="K23" t="s">
        <v>1630</v>
      </c>
      <c r="L23" t="s">
        <v>1630</v>
      </c>
      <c r="M23" t="s">
        <v>1630</v>
      </c>
      <c r="N23" t="s">
        <v>1630</v>
      </c>
      <c r="O23" t="s">
        <v>59</v>
      </c>
      <c r="P23" t="s">
        <v>1630</v>
      </c>
    </row>
    <row r="24" spans="1:16" x14ac:dyDescent="0.2">
      <c r="A24" s="148"/>
      <c r="B24">
        <v>88</v>
      </c>
      <c r="C24" t="s">
        <v>315</v>
      </c>
      <c r="D24" t="s">
        <v>316</v>
      </c>
      <c r="E24" t="s">
        <v>1630</v>
      </c>
      <c r="F24" t="s">
        <v>1630</v>
      </c>
      <c r="G24" t="s">
        <v>59</v>
      </c>
      <c r="H24" t="s">
        <v>59</v>
      </c>
      <c r="I24" t="s">
        <v>59</v>
      </c>
      <c r="J24" t="s">
        <v>59</v>
      </c>
      <c r="K24" t="s">
        <v>1630</v>
      </c>
      <c r="L24" t="s">
        <v>1630</v>
      </c>
      <c r="M24" t="s">
        <v>1630</v>
      </c>
      <c r="N24" t="s">
        <v>1630</v>
      </c>
      <c r="O24" t="s">
        <v>1630</v>
      </c>
      <c r="P24" t="s">
        <v>1630</v>
      </c>
    </row>
    <row r="25" spans="1:16" x14ac:dyDescent="0.2">
      <c r="A25" s="148"/>
      <c r="B25">
        <v>76</v>
      </c>
      <c r="C25" t="s">
        <v>325</v>
      </c>
      <c r="D25" t="s">
        <v>326</v>
      </c>
      <c r="E25" t="s">
        <v>1630</v>
      </c>
      <c r="F25" t="s">
        <v>1630</v>
      </c>
      <c r="G25" t="s">
        <v>59</v>
      </c>
      <c r="H25" t="s">
        <v>59</v>
      </c>
      <c r="I25" t="s">
        <v>59</v>
      </c>
      <c r="J25" t="s">
        <v>59</v>
      </c>
      <c r="K25" t="s">
        <v>1630</v>
      </c>
      <c r="L25" t="s">
        <v>1630</v>
      </c>
      <c r="M25" t="s">
        <v>1630</v>
      </c>
      <c r="N25" t="s">
        <v>1630</v>
      </c>
      <c r="O25" t="s">
        <v>1630</v>
      </c>
      <c r="P25" t="s">
        <v>1630</v>
      </c>
    </row>
    <row r="26" spans="1:16" x14ac:dyDescent="0.2">
      <c r="A26" s="148"/>
      <c r="B26">
        <v>61</v>
      </c>
      <c r="C26" t="s">
        <v>333</v>
      </c>
      <c r="D26" t="s">
        <v>334</v>
      </c>
      <c r="E26" t="s">
        <v>59</v>
      </c>
      <c r="F26" t="s">
        <v>59</v>
      </c>
      <c r="G26" t="s">
        <v>59</v>
      </c>
      <c r="H26" t="s">
        <v>59</v>
      </c>
      <c r="I26" t="s">
        <v>59</v>
      </c>
      <c r="J26" t="s">
        <v>59</v>
      </c>
      <c r="K26" t="s">
        <v>1630</v>
      </c>
      <c r="L26" t="s">
        <v>1630</v>
      </c>
      <c r="M26" t="s">
        <v>1630</v>
      </c>
      <c r="N26" t="s">
        <v>59</v>
      </c>
      <c r="O26" t="s">
        <v>59</v>
      </c>
      <c r="P26" t="s">
        <v>59</v>
      </c>
    </row>
    <row r="27" spans="1:16" x14ac:dyDescent="0.2">
      <c r="A27" s="148"/>
      <c r="B27">
        <v>37</v>
      </c>
      <c r="C27" t="s">
        <v>341</v>
      </c>
      <c r="D27" t="s">
        <v>342</v>
      </c>
      <c r="E27" t="s">
        <v>1630</v>
      </c>
      <c r="F27" t="s">
        <v>59</v>
      </c>
      <c r="G27" t="s">
        <v>59</v>
      </c>
      <c r="H27" t="s">
        <v>59</v>
      </c>
      <c r="I27" t="s">
        <v>1630</v>
      </c>
      <c r="J27" t="s">
        <v>1630</v>
      </c>
      <c r="K27" t="s">
        <v>1630</v>
      </c>
      <c r="L27" t="s">
        <v>1630</v>
      </c>
      <c r="M27" t="s">
        <v>1630</v>
      </c>
      <c r="N27" t="s">
        <v>1630</v>
      </c>
      <c r="O27" t="s">
        <v>59</v>
      </c>
      <c r="P27" t="s">
        <v>1630</v>
      </c>
    </row>
    <row r="28" spans="1:16" x14ac:dyDescent="0.2">
      <c r="A28" s="148"/>
      <c r="B28">
        <v>79</v>
      </c>
      <c r="C28" t="s">
        <v>353</v>
      </c>
      <c r="D28" t="s">
        <v>354</v>
      </c>
      <c r="E28" t="s">
        <v>1630</v>
      </c>
      <c r="F28" t="s">
        <v>1630</v>
      </c>
      <c r="G28" t="s">
        <v>59</v>
      </c>
      <c r="H28" t="s">
        <v>59</v>
      </c>
      <c r="I28" t="s">
        <v>59</v>
      </c>
      <c r="J28" t="s">
        <v>59</v>
      </c>
      <c r="K28" t="s">
        <v>59</v>
      </c>
      <c r="L28" t="s">
        <v>1630</v>
      </c>
      <c r="M28" t="s">
        <v>1630</v>
      </c>
      <c r="N28" t="s">
        <v>1630</v>
      </c>
      <c r="O28" t="s">
        <v>1630</v>
      </c>
      <c r="P28" t="s">
        <v>1630</v>
      </c>
    </row>
    <row r="29" spans="1:16" x14ac:dyDescent="0.2">
      <c r="A29" s="148"/>
      <c r="B29">
        <v>105</v>
      </c>
      <c r="C29" t="s">
        <v>362</v>
      </c>
      <c r="D29" t="s">
        <v>363</v>
      </c>
      <c r="E29" t="s">
        <v>59</v>
      </c>
      <c r="F29" t="s">
        <v>1630</v>
      </c>
      <c r="G29" t="s">
        <v>59</v>
      </c>
      <c r="H29" t="s">
        <v>59</v>
      </c>
      <c r="I29" t="s">
        <v>59</v>
      </c>
      <c r="J29" t="s">
        <v>59</v>
      </c>
      <c r="K29" t="s">
        <v>1630</v>
      </c>
      <c r="L29" t="s">
        <v>1630</v>
      </c>
      <c r="M29" t="s">
        <v>1630</v>
      </c>
      <c r="N29" t="s">
        <v>1630</v>
      </c>
      <c r="O29" t="s">
        <v>1630</v>
      </c>
      <c r="P29" t="s">
        <v>1630</v>
      </c>
    </row>
    <row r="30" spans="1:16" x14ac:dyDescent="0.2">
      <c r="A30" s="148"/>
      <c r="B30">
        <v>43</v>
      </c>
      <c r="C30" t="s">
        <v>370</v>
      </c>
      <c r="D30" t="s">
        <v>371</v>
      </c>
      <c r="E30" t="s">
        <v>1630</v>
      </c>
      <c r="F30" t="s">
        <v>1630</v>
      </c>
      <c r="G30" t="s">
        <v>59</v>
      </c>
      <c r="H30" t="s">
        <v>59</v>
      </c>
      <c r="I30" t="s">
        <v>59</v>
      </c>
      <c r="J30" t="s">
        <v>1630</v>
      </c>
      <c r="K30" t="s">
        <v>1630</v>
      </c>
      <c r="L30" t="s">
        <v>1630</v>
      </c>
      <c r="M30" t="s">
        <v>59</v>
      </c>
      <c r="N30" t="s">
        <v>1630</v>
      </c>
      <c r="O30" t="s">
        <v>59</v>
      </c>
      <c r="P30" t="s">
        <v>1630</v>
      </c>
    </row>
    <row r="31" spans="1:16" x14ac:dyDescent="0.2">
      <c r="A31" s="148"/>
      <c r="B31">
        <v>58</v>
      </c>
      <c r="C31" t="s">
        <v>378</v>
      </c>
      <c r="D31" t="s">
        <v>379</v>
      </c>
      <c r="E31" t="s">
        <v>1630</v>
      </c>
      <c r="F31" t="s">
        <v>1630</v>
      </c>
      <c r="G31" t="s">
        <v>59</v>
      </c>
      <c r="H31" t="s">
        <v>59</v>
      </c>
      <c r="I31" t="s">
        <v>59</v>
      </c>
      <c r="J31" t="s">
        <v>59</v>
      </c>
      <c r="K31" t="s">
        <v>1630</v>
      </c>
      <c r="L31" t="s">
        <v>1630</v>
      </c>
      <c r="M31" t="s">
        <v>1630</v>
      </c>
      <c r="N31" t="s">
        <v>59</v>
      </c>
      <c r="O31" t="s">
        <v>59</v>
      </c>
      <c r="P31" t="s">
        <v>59</v>
      </c>
    </row>
    <row r="32" spans="1:16" x14ac:dyDescent="0.2">
      <c r="A32" s="148"/>
      <c r="B32">
        <v>62</v>
      </c>
      <c r="C32" t="s">
        <v>388</v>
      </c>
      <c r="D32" t="s">
        <v>389</v>
      </c>
      <c r="E32" t="s">
        <v>1630</v>
      </c>
      <c r="F32" t="s">
        <v>1630</v>
      </c>
      <c r="G32" t="s">
        <v>59</v>
      </c>
      <c r="H32" t="s">
        <v>59</v>
      </c>
      <c r="I32" t="s">
        <v>1630</v>
      </c>
      <c r="J32" t="s">
        <v>1630</v>
      </c>
      <c r="K32" t="s">
        <v>1630</v>
      </c>
      <c r="L32" t="s">
        <v>1630</v>
      </c>
      <c r="M32" t="s">
        <v>1630</v>
      </c>
      <c r="N32" t="s">
        <v>59</v>
      </c>
      <c r="O32" t="s">
        <v>1630</v>
      </c>
      <c r="P32" t="s">
        <v>1630</v>
      </c>
    </row>
    <row r="33" spans="1:16" x14ac:dyDescent="0.2">
      <c r="A33" s="148"/>
      <c r="B33">
        <v>115</v>
      </c>
      <c r="C33" t="s">
        <v>396</v>
      </c>
      <c r="D33" t="s">
        <v>397</v>
      </c>
      <c r="E33" t="s">
        <v>59</v>
      </c>
      <c r="F33" t="s">
        <v>59</v>
      </c>
      <c r="G33" t="s">
        <v>59</v>
      </c>
      <c r="H33" t="s">
        <v>59</v>
      </c>
      <c r="I33" t="s">
        <v>59</v>
      </c>
      <c r="J33" t="s">
        <v>59</v>
      </c>
      <c r="K33" t="s">
        <v>59</v>
      </c>
      <c r="L33" t="s">
        <v>59</v>
      </c>
      <c r="M33" t="s">
        <v>59</v>
      </c>
      <c r="N33" t="s">
        <v>1630</v>
      </c>
      <c r="O33" t="s">
        <v>1630</v>
      </c>
      <c r="P33" t="s">
        <v>1630</v>
      </c>
    </row>
    <row r="34" spans="1:16" x14ac:dyDescent="0.2">
      <c r="A34" s="148"/>
      <c r="B34">
        <v>112</v>
      </c>
      <c r="C34" t="s">
        <v>404</v>
      </c>
      <c r="D34" t="s">
        <v>405</v>
      </c>
      <c r="E34" t="s">
        <v>59</v>
      </c>
      <c r="F34" t="s">
        <v>1630</v>
      </c>
      <c r="G34" t="s">
        <v>59</v>
      </c>
      <c r="H34" t="s">
        <v>59</v>
      </c>
      <c r="I34" t="s">
        <v>59</v>
      </c>
      <c r="J34" t="s">
        <v>1630</v>
      </c>
      <c r="K34" t="s">
        <v>1630</v>
      </c>
      <c r="L34" t="s">
        <v>1630</v>
      </c>
      <c r="M34" t="s">
        <v>1630</v>
      </c>
      <c r="N34" t="s">
        <v>59</v>
      </c>
      <c r="O34" t="s">
        <v>59</v>
      </c>
      <c r="P34" t="s">
        <v>1630</v>
      </c>
    </row>
    <row r="35" spans="1:16" x14ac:dyDescent="0.2">
      <c r="A35" s="148"/>
      <c r="B35">
        <v>103</v>
      </c>
      <c r="C35" t="s">
        <v>414</v>
      </c>
      <c r="D35" t="s">
        <v>415</v>
      </c>
      <c r="E35" t="s">
        <v>59</v>
      </c>
      <c r="F35" t="s">
        <v>1630</v>
      </c>
      <c r="G35" t="s">
        <v>59</v>
      </c>
      <c r="H35" t="s">
        <v>59</v>
      </c>
      <c r="I35" t="s">
        <v>1630</v>
      </c>
      <c r="J35" t="s">
        <v>1630</v>
      </c>
      <c r="K35" t="s">
        <v>1630</v>
      </c>
      <c r="L35" t="s">
        <v>1630</v>
      </c>
      <c r="M35" t="s">
        <v>1630</v>
      </c>
      <c r="N35" t="s">
        <v>59</v>
      </c>
      <c r="O35" t="s">
        <v>1630</v>
      </c>
      <c r="P35" t="s">
        <v>1630</v>
      </c>
    </row>
    <row r="36" spans="1:16" x14ac:dyDescent="0.2">
      <c r="A36" s="148"/>
      <c r="B36">
        <v>142</v>
      </c>
      <c r="C36" t="s">
        <v>424</v>
      </c>
      <c r="D36" t="s">
        <v>425</v>
      </c>
      <c r="E36" t="s">
        <v>1630</v>
      </c>
      <c r="F36" t="s">
        <v>1630</v>
      </c>
      <c r="G36" t="s">
        <v>59</v>
      </c>
      <c r="H36" t="s">
        <v>59</v>
      </c>
      <c r="I36" t="s">
        <v>59</v>
      </c>
      <c r="J36" t="s">
        <v>59</v>
      </c>
      <c r="K36" t="s">
        <v>1630</v>
      </c>
      <c r="L36" t="s">
        <v>1630</v>
      </c>
      <c r="M36" t="s">
        <v>1630</v>
      </c>
      <c r="N36" t="s">
        <v>1630</v>
      </c>
      <c r="O36" t="s">
        <v>59</v>
      </c>
      <c r="P36" t="s">
        <v>1630</v>
      </c>
    </row>
    <row r="37" spans="1:16" x14ac:dyDescent="0.2">
      <c r="A37" s="148"/>
      <c r="B37">
        <v>98</v>
      </c>
      <c r="C37" t="s">
        <v>437</v>
      </c>
      <c r="D37" t="s">
        <v>438</v>
      </c>
      <c r="E37" t="s">
        <v>59</v>
      </c>
      <c r="F37" t="s">
        <v>59</v>
      </c>
      <c r="G37" t="s">
        <v>59</v>
      </c>
      <c r="H37" t="s">
        <v>59</v>
      </c>
      <c r="I37" t="s">
        <v>1630</v>
      </c>
      <c r="J37" t="s">
        <v>59</v>
      </c>
      <c r="K37" t="s">
        <v>59</v>
      </c>
      <c r="L37" t="s">
        <v>59</v>
      </c>
      <c r="M37" t="s">
        <v>59</v>
      </c>
      <c r="N37" t="s">
        <v>1630</v>
      </c>
      <c r="O37" t="s">
        <v>59</v>
      </c>
      <c r="P37" t="s">
        <v>1630</v>
      </c>
    </row>
    <row r="38" spans="1:16" x14ac:dyDescent="0.2">
      <c r="A38" s="148"/>
      <c r="B38">
        <v>102</v>
      </c>
      <c r="C38" t="s">
        <v>445</v>
      </c>
      <c r="D38" t="s">
        <v>446</v>
      </c>
      <c r="E38" t="s">
        <v>59</v>
      </c>
      <c r="F38" t="s">
        <v>1630</v>
      </c>
      <c r="G38" t="s">
        <v>59</v>
      </c>
      <c r="H38" t="s">
        <v>59</v>
      </c>
      <c r="I38" t="s">
        <v>1630</v>
      </c>
      <c r="J38" t="s">
        <v>59</v>
      </c>
      <c r="K38" t="s">
        <v>1630</v>
      </c>
      <c r="L38" t="s">
        <v>1630</v>
      </c>
      <c r="M38" t="s">
        <v>1630</v>
      </c>
      <c r="N38" t="s">
        <v>1630</v>
      </c>
      <c r="O38" t="s">
        <v>1630</v>
      </c>
      <c r="P38" t="s">
        <v>59</v>
      </c>
    </row>
    <row r="39" spans="1:16" x14ac:dyDescent="0.2">
      <c r="A39" s="148"/>
      <c r="B39">
        <v>51</v>
      </c>
      <c r="C39" t="s">
        <v>456</v>
      </c>
      <c r="D39" t="s">
        <v>457</v>
      </c>
      <c r="E39" t="s">
        <v>59</v>
      </c>
      <c r="F39" t="s">
        <v>1630</v>
      </c>
      <c r="G39" t="s">
        <v>59</v>
      </c>
      <c r="H39" t="s">
        <v>59</v>
      </c>
      <c r="I39" t="s">
        <v>59</v>
      </c>
      <c r="J39" t="s">
        <v>59</v>
      </c>
      <c r="K39" t="s">
        <v>1630</v>
      </c>
      <c r="L39" t="s">
        <v>1630</v>
      </c>
      <c r="M39" t="s">
        <v>59</v>
      </c>
      <c r="N39" t="s">
        <v>1630</v>
      </c>
      <c r="O39" t="s">
        <v>59</v>
      </c>
      <c r="P39" t="s">
        <v>1630</v>
      </c>
    </row>
    <row r="40" spans="1:16" x14ac:dyDescent="0.2">
      <c r="A40" s="148"/>
      <c r="B40">
        <v>150</v>
      </c>
      <c r="C40" t="s">
        <v>469</v>
      </c>
      <c r="D40" t="s">
        <v>470</v>
      </c>
      <c r="E40" t="s">
        <v>59</v>
      </c>
      <c r="F40" t="s">
        <v>1630</v>
      </c>
      <c r="G40" t="s">
        <v>1630</v>
      </c>
      <c r="H40" t="s">
        <v>59</v>
      </c>
      <c r="I40" t="s">
        <v>59</v>
      </c>
      <c r="J40" t="s">
        <v>1630</v>
      </c>
      <c r="K40" t="s">
        <v>1630</v>
      </c>
      <c r="L40" t="s">
        <v>1630</v>
      </c>
      <c r="M40" t="s">
        <v>1630</v>
      </c>
      <c r="N40" t="s">
        <v>1630</v>
      </c>
      <c r="O40" t="s">
        <v>1630</v>
      </c>
      <c r="P40" t="s">
        <v>59</v>
      </c>
    </row>
    <row r="41" spans="1:16" x14ac:dyDescent="0.2">
      <c r="A41" s="148"/>
      <c r="B41">
        <v>97</v>
      </c>
      <c r="C41" t="s">
        <v>484</v>
      </c>
      <c r="D41" t="s">
        <v>485</v>
      </c>
      <c r="E41" t="s">
        <v>1630</v>
      </c>
      <c r="F41" t="s">
        <v>1630</v>
      </c>
      <c r="G41" t="s">
        <v>59</v>
      </c>
      <c r="H41" t="s">
        <v>59</v>
      </c>
      <c r="I41" t="s">
        <v>1630</v>
      </c>
      <c r="J41" t="s">
        <v>59</v>
      </c>
      <c r="K41" t="s">
        <v>1630</v>
      </c>
      <c r="L41" t="s">
        <v>1630</v>
      </c>
      <c r="M41" t="s">
        <v>1630</v>
      </c>
      <c r="N41" t="s">
        <v>1630</v>
      </c>
      <c r="O41" t="s">
        <v>1630</v>
      </c>
      <c r="P41" t="s">
        <v>1630</v>
      </c>
    </row>
    <row r="42" spans="1:16" x14ac:dyDescent="0.2">
      <c r="A42" s="148"/>
      <c r="B42">
        <v>130</v>
      </c>
      <c r="C42" t="s">
        <v>493</v>
      </c>
      <c r="D42" t="s">
        <v>494</v>
      </c>
      <c r="E42" t="s">
        <v>1630</v>
      </c>
      <c r="F42" t="s">
        <v>1630</v>
      </c>
      <c r="G42" t="s">
        <v>1630</v>
      </c>
      <c r="H42" t="s">
        <v>59</v>
      </c>
      <c r="I42" t="s">
        <v>1630</v>
      </c>
      <c r="J42" t="s">
        <v>1630</v>
      </c>
      <c r="K42" t="s">
        <v>1630</v>
      </c>
      <c r="L42" t="s">
        <v>1630</v>
      </c>
      <c r="M42" t="s">
        <v>1630</v>
      </c>
      <c r="N42" t="s">
        <v>1630</v>
      </c>
      <c r="O42" t="s">
        <v>59</v>
      </c>
      <c r="P42" t="s">
        <v>1630</v>
      </c>
    </row>
    <row r="43" spans="1:16" x14ac:dyDescent="0.2">
      <c r="A43" s="148"/>
      <c r="B43">
        <v>41</v>
      </c>
      <c r="C43" t="s">
        <v>505</v>
      </c>
      <c r="D43" t="s">
        <v>506</v>
      </c>
      <c r="E43" t="s">
        <v>59</v>
      </c>
      <c r="F43" t="s">
        <v>59</v>
      </c>
      <c r="G43" t="s">
        <v>59</v>
      </c>
      <c r="H43" t="s">
        <v>59</v>
      </c>
      <c r="I43" t="s">
        <v>1630</v>
      </c>
      <c r="J43" t="s">
        <v>1630</v>
      </c>
      <c r="K43" t="s">
        <v>1630</v>
      </c>
      <c r="L43" t="s">
        <v>1630</v>
      </c>
      <c r="M43" t="s">
        <v>1630</v>
      </c>
      <c r="N43" t="s">
        <v>1630</v>
      </c>
      <c r="O43" t="s">
        <v>1630</v>
      </c>
      <c r="P43" t="s">
        <v>1630</v>
      </c>
    </row>
    <row r="44" spans="1:16" x14ac:dyDescent="0.2">
      <c r="A44" s="148"/>
      <c r="B44">
        <v>63</v>
      </c>
      <c r="C44" t="s">
        <v>516</v>
      </c>
      <c r="D44" t="s">
        <v>517</v>
      </c>
      <c r="E44" t="s">
        <v>1630</v>
      </c>
      <c r="F44" t="s">
        <v>1630</v>
      </c>
      <c r="G44" t="s">
        <v>59</v>
      </c>
      <c r="H44" t="s">
        <v>59</v>
      </c>
      <c r="I44" t="s">
        <v>1630</v>
      </c>
      <c r="J44" t="s">
        <v>1630</v>
      </c>
      <c r="K44" t="s">
        <v>1630</v>
      </c>
      <c r="L44" t="s">
        <v>1630</v>
      </c>
      <c r="M44" t="s">
        <v>1630</v>
      </c>
      <c r="N44" t="s">
        <v>59</v>
      </c>
      <c r="O44" t="s">
        <v>59</v>
      </c>
      <c r="P44" t="s">
        <v>1630</v>
      </c>
    </row>
    <row r="45" spans="1:16" x14ac:dyDescent="0.2">
      <c r="A45" s="148"/>
      <c r="B45">
        <v>78</v>
      </c>
      <c r="C45" t="s">
        <v>526</v>
      </c>
      <c r="D45" t="s">
        <v>527</v>
      </c>
      <c r="E45" t="s">
        <v>1630</v>
      </c>
      <c r="F45" t="s">
        <v>1630</v>
      </c>
      <c r="G45" t="s">
        <v>1630</v>
      </c>
      <c r="H45" t="s">
        <v>59</v>
      </c>
      <c r="I45" t="s">
        <v>59</v>
      </c>
      <c r="J45" t="s">
        <v>1630</v>
      </c>
      <c r="K45" t="s">
        <v>1630</v>
      </c>
      <c r="L45" t="s">
        <v>1630</v>
      </c>
      <c r="M45" t="s">
        <v>1630</v>
      </c>
      <c r="N45" t="s">
        <v>59</v>
      </c>
      <c r="O45" t="s">
        <v>59</v>
      </c>
      <c r="P45" t="s">
        <v>1630</v>
      </c>
    </row>
    <row r="46" spans="1:16" x14ac:dyDescent="0.2">
      <c r="A46" s="148"/>
      <c r="B46">
        <v>47</v>
      </c>
      <c r="C46" t="s">
        <v>536</v>
      </c>
      <c r="D46" t="s">
        <v>537</v>
      </c>
      <c r="E46" t="s">
        <v>1630</v>
      </c>
      <c r="F46" t="s">
        <v>1630</v>
      </c>
      <c r="G46" t="s">
        <v>1630</v>
      </c>
      <c r="H46" t="s">
        <v>1630</v>
      </c>
      <c r="I46" t="s">
        <v>1630</v>
      </c>
      <c r="J46" t="s">
        <v>1630</v>
      </c>
      <c r="K46" t="s">
        <v>1630</v>
      </c>
      <c r="L46" t="s">
        <v>1630</v>
      </c>
      <c r="M46" t="s">
        <v>1630</v>
      </c>
      <c r="N46" t="s">
        <v>59</v>
      </c>
      <c r="O46" t="s">
        <v>1630</v>
      </c>
      <c r="P46" t="s">
        <v>1630</v>
      </c>
    </row>
    <row r="47" spans="1:16" x14ac:dyDescent="0.2">
      <c r="A47" s="148"/>
      <c r="B47">
        <v>54</v>
      </c>
      <c r="C47" t="s">
        <v>548</v>
      </c>
      <c r="D47" t="s">
        <v>549</v>
      </c>
      <c r="E47" t="s">
        <v>1630</v>
      </c>
      <c r="F47" t="s">
        <v>1630</v>
      </c>
      <c r="G47" t="s">
        <v>59</v>
      </c>
      <c r="H47" t="s">
        <v>1630</v>
      </c>
      <c r="I47" t="s">
        <v>1630</v>
      </c>
      <c r="J47" t="s">
        <v>59</v>
      </c>
      <c r="K47" t="s">
        <v>1630</v>
      </c>
      <c r="L47" t="s">
        <v>1630</v>
      </c>
      <c r="M47" t="s">
        <v>59</v>
      </c>
      <c r="N47" t="s">
        <v>1630</v>
      </c>
      <c r="O47" t="s">
        <v>1630</v>
      </c>
      <c r="P47" t="s">
        <v>1630</v>
      </c>
    </row>
    <row r="48" spans="1:16" x14ac:dyDescent="0.2">
      <c r="A48" s="148"/>
      <c r="B48">
        <v>124</v>
      </c>
      <c r="C48" t="s">
        <v>558</v>
      </c>
      <c r="D48" t="s">
        <v>559</v>
      </c>
      <c r="E48" t="s">
        <v>1630</v>
      </c>
      <c r="F48" t="s">
        <v>1630</v>
      </c>
      <c r="G48" t="s">
        <v>59</v>
      </c>
      <c r="H48" t="s">
        <v>59</v>
      </c>
      <c r="I48" t="s">
        <v>1630</v>
      </c>
      <c r="J48" t="s">
        <v>59</v>
      </c>
      <c r="K48" t="s">
        <v>1630</v>
      </c>
      <c r="L48" t="s">
        <v>1630</v>
      </c>
      <c r="M48" t="s">
        <v>1630</v>
      </c>
      <c r="N48" t="s">
        <v>1630</v>
      </c>
      <c r="O48" t="s">
        <v>1630</v>
      </c>
      <c r="P48" t="s">
        <v>1630</v>
      </c>
    </row>
    <row r="49" spans="1:16" x14ac:dyDescent="0.2">
      <c r="A49" s="148"/>
      <c r="B49">
        <v>77</v>
      </c>
      <c r="C49" t="s">
        <v>567</v>
      </c>
      <c r="D49" t="s">
        <v>549</v>
      </c>
      <c r="E49" t="s">
        <v>59</v>
      </c>
      <c r="F49" t="s">
        <v>59</v>
      </c>
      <c r="G49" t="s">
        <v>59</v>
      </c>
      <c r="H49" t="s">
        <v>59</v>
      </c>
      <c r="I49" t="s">
        <v>1630</v>
      </c>
      <c r="J49" t="s">
        <v>59</v>
      </c>
      <c r="K49" t="s">
        <v>59</v>
      </c>
      <c r="L49" t="s">
        <v>59</v>
      </c>
      <c r="M49" t="s">
        <v>1630</v>
      </c>
      <c r="N49" t="s">
        <v>1630</v>
      </c>
      <c r="O49" t="s">
        <v>59</v>
      </c>
      <c r="P49" t="s">
        <v>1630</v>
      </c>
    </row>
    <row r="50" spans="1:16" x14ac:dyDescent="0.2">
      <c r="A50" s="148"/>
      <c r="B50">
        <v>107</v>
      </c>
      <c r="C50" t="s">
        <v>573</v>
      </c>
      <c r="D50" t="s">
        <v>549</v>
      </c>
      <c r="E50" t="s">
        <v>1630</v>
      </c>
      <c r="F50" t="s">
        <v>1630</v>
      </c>
      <c r="G50" t="s">
        <v>59</v>
      </c>
      <c r="H50" t="s">
        <v>59</v>
      </c>
      <c r="I50" t="s">
        <v>1630</v>
      </c>
      <c r="J50" t="s">
        <v>59</v>
      </c>
      <c r="K50" t="s">
        <v>1630</v>
      </c>
      <c r="L50" t="s">
        <v>1630</v>
      </c>
      <c r="M50" t="s">
        <v>1630</v>
      </c>
      <c r="N50" t="s">
        <v>1630</v>
      </c>
      <c r="O50" t="s">
        <v>59</v>
      </c>
      <c r="P50" t="s">
        <v>59</v>
      </c>
    </row>
    <row r="51" spans="1:16" x14ac:dyDescent="0.2">
      <c r="A51" s="148"/>
      <c r="B51">
        <v>104</v>
      </c>
      <c r="C51" t="s">
        <v>579</v>
      </c>
      <c r="D51" t="s">
        <v>549</v>
      </c>
      <c r="E51" t="s">
        <v>59</v>
      </c>
      <c r="F51" t="s">
        <v>1630</v>
      </c>
      <c r="G51" t="s">
        <v>59</v>
      </c>
      <c r="H51" t="s">
        <v>59</v>
      </c>
      <c r="I51" t="s">
        <v>1630</v>
      </c>
      <c r="J51" t="s">
        <v>1630</v>
      </c>
      <c r="K51" t="s">
        <v>1630</v>
      </c>
      <c r="L51" t="s">
        <v>1630</v>
      </c>
      <c r="M51" t="s">
        <v>1630</v>
      </c>
      <c r="N51" t="s">
        <v>1630</v>
      </c>
      <c r="O51" t="s">
        <v>1630</v>
      </c>
      <c r="P51" t="s">
        <v>1630</v>
      </c>
    </row>
    <row r="52" spans="1:16" x14ac:dyDescent="0.2">
      <c r="A52" s="148"/>
      <c r="B52">
        <v>139</v>
      </c>
      <c r="C52" t="s">
        <v>585</v>
      </c>
      <c r="D52" t="s">
        <v>549</v>
      </c>
      <c r="E52" t="s">
        <v>1630</v>
      </c>
      <c r="F52" t="s">
        <v>1630</v>
      </c>
      <c r="G52" t="s">
        <v>59</v>
      </c>
      <c r="H52" t="s">
        <v>59</v>
      </c>
      <c r="I52" t="s">
        <v>59</v>
      </c>
      <c r="J52" t="s">
        <v>59</v>
      </c>
      <c r="K52" t="s">
        <v>1630</v>
      </c>
      <c r="L52" t="s">
        <v>1630</v>
      </c>
      <c r="M52" t="s">
        <v>1630</v>
      </c>
      <c r="N52" t="s">
        <v>1630</v>
      </c>
      <c r="O52" t="s">
        <v>59</v>
      </c>
      <c r="P52" t="s">
        <v>59</v>
      </c>
    </row>
    <row r="53" spans="1:16" x14ac:dyDescent="0.2">
      <c r="A53" s="148"/>
      <c r="B53">
        <v>143</v>
      </c>
      <c r="C53" t="s">
        <v>594</v>
      </c>
      <c r="D53" t="s">
        <v>549</v>
      </c>
      <c r="E53" t="s">
        <v>1630</v>
      </c>
      <c r="F53" t="s">
        <v>59</v>
      </c>
      <c r="G53" t="s">
        <v>59</v>
      </c>
      <c r="H53" t="s">
        <v>59</v>
      </c>
      <c r="I53" t="s">
        <v>1630</v>
      </c>
      <c r="J53" t="s">
        <v>59</v>
      </c>
      <c r="K53" t="s">
        <v>1630</v>
      </c>
      <c r="L53" t="s">
        <v>1630</v>
      </c>
      <c r="M53" t="s">
        <v>1630</v>
      </c>
      <c r="N53" t="s">
        <v>1630</v>
      </c>
      <c r="O53" t="s">
        <v>1630</v>
      </c>
      <c r="P53" t="s">
        <v>1630</v>
      </c>
    </row>
    <row r="54" spans="1:16" x14ac:dyDescent="0.2">
      <c r="A54" s="148"/>
      <c r="B54">
        <v>108</v>
      </c>
      <c r="C54" t="s">
        <v>601</v>
      </c>
      <c r="D54" t="s">
        <v>602</v>
      </c>
      <c r="E54" t="s">
        <v>1630</v>
      </c>
      <c r="F54" t="s">
        <v>1630</v>
      </c>
      <c r="G54" t="s">
        <v>59</v>
      </c>
      <c r="H54" t="s">
        <v>1630</v>
      </c>
      <c r="I54" t="s">
        <v>1630</v>
      </c>
      <c r="J54" t="s">
        <v>59</v>
      </c>
      <c r="K54" t="s">
        <v>59</v>
      </c>
      <c r="L54" t="s">
        <v>1630</v>
      </c>
      <c r="M54" t="s">
        <v>1630</v>
      </c>
      <c r="N54" t="s">
        <v>1630</v>
      </c>
      <c r="O54" t="s">
        <v>1630</v>
      </c>
      <c r="P54" t="s">
        <v>1630</v>
      </c>
    </row>
    <row r="55" spans="1:16" x14ac:dyDescent="0.2">
      <c r="A55" s="148"/>
      <c r="B55">
        <v>106</v>
      </c>
      <c r="C55" t="s">
        <v>610</v>
      </c>
      <c r="D55" t="s">
        <v>611</v>
      </c>
      <c r="E55" t="s">
        <v>59</v>
      </c>
      <c r="F55" t="s">
        <v>59</v>
      </c>
      <c r="G55" t="s">
        <v>59</v>
      </c>
      <c r="H55" t="s">
        <v>1630</v>
      </c>
      <c r="I55" t="s">
        <v>1630</v>
      </c>
      <c r="J55" t="s">
        <v>1630</v>
      </c>
      <c r="K55" t="s">
        <v>1630</v>
      </c>
      <c r="L55" t="s">
        <v>1630</v>
      </c>
      <c r="M55" t="s">
        <v>1630</v>
      </c>
      <c r="N55" t="s">
        <v>59</v>
      </c>
      <c r="O55" t="s">
        <v>1630</v>
      </c>
      <c r="P55" t="s">
        <v>1630</v>
      </c>
    </row>
    <row r="56" spans="1:16" x14ac:dyDescent="0.2">
      <c r="A56" s="148"/>
      <c r="B56">
        <v>149</v>
      </c>
      <c r="C56" t="s">
        <v>620</v>
      </c>
      <c r="D56" t="s">
        <v>621</v>
      </c>
      <c r="E56" t="s">
        <v>59</v>
      </c>
      <c r="F56" t="s">
        <v>1630</v>
      </c>
      <c r="G56" t="s">
        <v>1630</v>
      </c>
      <c r="H56" t="s">
        <v>59</v>
      </c>
      <c r="I56" t="s">
        <v>1630</v>
      </c>
      <c r="J56" t="s">
        <v>59</v>
      </c>
      <c r="K56" t="s">
        <v>1630</v>
      </c>
      <c r="L56" t="s">
        <v>59</v>
      </c>
      <c r="M56" t="s">
        <v>59</v>
      </c>
      <c r="N56" t="s">
        <v>1630</v>
      </c>
      <c r="O56" t="s">
        <v>59</v>
      </c>
      <c r="P56" t="s">
        <v>1630</v>
      </c>
    </row>
    <row r="57" spans="1:16" x14ac:dyDescent="0.2">
      <c r="A57" s="148"/>
      <c r="B57">
        <v>35</v>
      </c>
      <c r="C57" t="s">
        <v>628</v>
      </c>
      <c r="D57" t="s">
        <v>629</v>
      </c>
      <c r="E57" t="s">
        <v>1630</v>
      </c>
      <c r="F57" t="s">
        <v>1630</v>
      </c>
      <c r="G57" t="s">
        <v>1630</v>
      </c>
      <c r="H57" t="s">
        <v>59</v>
      </c>
      <c r="I57" t="s">
        <v>59</v>
      </c>
      <c r="J57" t="s">
        <v>1630</v>
      </c>
      <c r="K57" t="s">
        <v>1630</v>
      </c>
      <c r="L57" t="s">
        <v>1630</v>
      </c>
      <c r="M57" t="s">
        <v>59</v>
      </c>
      <c r="N57" t="s">
        <v>1630</v>
      </c>
      <c r="O57" t="s">
        <v>59</v>
      </c>
      <c r="P57" t="s">
        <v>1630</v>
      </c>
    </row>
    <row r="58" spans="1:16" x14ac:dyDescent="0.2">
      <c r="A58" s="148"/>
      <c r="B58">
        <v>70</v>
      </c>
      <c r="C58" t="s">
        <v>636</v>
      </c>
      <c r="D58" t="s">
        <v>637</v>
      </c>
      <c r="E58" t="s">
        <v>59</v>
      </c>
      <c r="F58" t="s">
        <v>1630</v>
      </c>
      <c r="G58" t="s">
        <v>59</v>
      </c>
      <c r="H58" t="s">
        <v>59</v>
      </c>
      <c r="I58" t="s">
        <v>59</v>
      </c>
      <c r="J58" t="s">
        <v>1630</v>
      </c>
      <c r="K58" t="s">
        <v>1630</v>
      </c>
      <c r="L58" t="s">
        <v>1630</v>
      </c>
      <c r="M58" t="s">
        <v>1630</v>
      </c>
      <c r="N58" t="s">
        <v>1630</v>
      </c>
      <c r="O58" t="s">
        <v>59</v>
      </c>
      <c r="P58" t="s">
        <v>1630</v>
      </c>
    </row>
    <row r="59" spans="1:16" x14ac:dyDescent="0.2">
      <c r="A59" s="148"/>
      <c r="B59">
        <v>57</v>
      </c>
      <c r="C59" t="s">
        <v>643</v>
      </c>
      <c r="D59" t="s">
        <v>644</v>
      </c>
      <c r="E59" t="s">
        <v>59</v>
      </c>
      <c r="F59" t="s">
        <v>1630</v>
      </c>
      <c r="G59" t="s">
        <v>59</v>
      </c>
      <c r="H59" t="s">
        <v>59</v>
      </c>
      <c r="I59" t="s">
        <v>59</v>
      </c>
      <c r="J59" t="s">
        <v>59</v>
      </c>
      <c r="K59" t="s">
        <v>59</v>
      </c>
      <c r="L59" t="s">
        <v>1630</v>
      </c>
      <c r="M59" t="s">
        <v>59</v>
      </c>
      <c r="N59" t="s">
        <v>1630</v>
      </c>
      <c r="O59" t="s">
        <v>1630</v>
      </c>
      <c r="P59" t="s">
        <v>59</v>
      </c>
    </row>
    <row r="60" spans="1:16" x14ac:dyDescent="0.2">
      <c r="A60" s="148"/>
      <c r="B60">
        <v>68</v>
      </c>
      <c r="C60" t="s">
        <v>650</v>
      </c>
      <c r="D60" t="s">
        <v>651</v>
      </c>
      <c r="E60" t="s">
        <v>1630</v>
      </c>
      <c r="F60" t="s">
        <v>1630</v>
      </c>
      <c r="G60" t="s">
        <v>1630</v>
      </c>
      <c r="H60" t="s">
        <v>59</v>
      </c>
      <c r="I60" t="s">
        <v>59</v>
      </c>
      <c r="J60" t="s">
        <v>59</v>
      </c>
      <c r="K60" t="s">
        <v>59</v>
      </c>
      <c r="L60" t="s">
        <v>1630</v>
      </c>
      <c r="M60" t="s">
        <v>1630</v>
      </c>
      <c r="N60" t="s">
        <v>59</v>
      </c>
      <c r="O60" t="s">
        <v>1630</v>
      </c>
      <c r="P60" t="s">
        <v>1630</v>
      </c>
    </row>
    <row r="61" spans="1:16" x14ac:dyDescent="0.2">
      <c r="A61" s="148"/>
      <c r="B61">
        <v>121</v>
      </c>
      <c r="C61" t="s">
        <v>660</v>
      </c>
      <c r="D61" t="s">
        <v>661</v>
      </c>
      <c r="E61" t="s">
        <v>59</v>
      </c>
      <c r="F61" t="s">
        <v>1630</v>
      </c>
      <c r="G61" t="s">
        <v>59</v>
      </c>
      <c r="H61" t="s">
        <v>59</v>
      </c>
      <c r="I61" t="s">
        <v>59</v>
      </c>
      <c r="J61" t="s">
        <v>59</v>
      </c>
      <c r="K61" t="s">
        <v>1630</v>
      </c>
      <c r="L61" t="s">
        <v>1630</v>
      </c>
      <c r="M61" t="s">
        <v>1630</v>
      </c>
      <c r="N61" t="s">
        <v>1630</v>
      </c>
      <c r="O61" t="s">
        <v>1630</v>
      </c>
      <c r="P61" t="s">
        <v>59</v>
      </c>
    </row>
    <row r="62" spans="1:16" x14ac:dyDescent="0.2">
      <c r="A62" s="148"/>
      <c r="B62">
        <v>140</v>
      </c>
      <c r="C62" t="s">
        <v>669</v>
      </c>
      <c r="D62" t="s">
        <v>670</v>
      </c>
      <c r="E62" t="s">
        <v>59</v>
      </c>
      <c r="F62" t="s">
        <v>1630</v>
      </c>
      <c r="G62" t="s">
        <v>59</v>
      </c>
      <c r="H62" t="s">
        <v>59</v>
      </c>
      <c r="I62" t="s">
        <v>59</v>
      </c>
      <c r="J62" t="s">
        <v>59</v>
      </c>
      <c r="K62" t="s">
        <v>1630</v>
      </c>
      <c r="L62" t="s">
        <v>1630</v>
      </c>
      <c r="M62" t="s">
        <v>59</v>
      </c>
      <c r="N62" t="s">
        <v>1630</v>
      </c>
      <c r="O62" t="s">
        <v>59</v>
      </c>
      <c r="P62" t="s">
        <v>1630</v>
      </c>
    </row>
    <row r="63" spans="1:16" x14ac:dyDescent="0.2">
      <c r="A63" s="148"/>
      <c r="B63">
        <v>114</v>
      </c>
      <c r="C63" t="s">
        <v>680</v>
      </c>
      <c r="D63" t="s">
        <v>681</v>
      </c>
      <c r="E63" t="s">
        <v>1630</v>
      </c>
      <c r="F63" t="s">
        <v>1630</v>
      </c>
      <c r="G63" t="s">
        <v>59</v>
      </c>
      <c r="H63" t="s">
        <v>59</v>
      </c>
      <c r="I63" t="s">
        <v>1630</v>
      </c>
      <c r="J63" t="s">
        <v>1630</v>
      </c>
      <c r="K63" t="s">
        <v>1630</v>
      </c>
      <c r="L63" t="s">
        <v>1630</v>
      </c>
      <c r="M63" t="s">
        <v>1630</v>
      </c>
      <c r="N63" t="s">
        <v>59</v>
      </c>
      <c r="O63" t="s">
        <v>59</v>
      </c>
      <c r="P63" t="s">
        <v>59</v>
      </c>
    </row>
    <row r="64" spans="1:16" x14ac:dyDescent="0.2">
      <c r="A64" s="148"/>
      <c r="B64">
        <v>93</v>
      </c>
      <c r="C64" t="s">
        <v>687</v>
      </c>
      <c r="D64" t="s">
        <v>688</v>
      </c>
      <c r="E64" t="s">
        <v>1630</v>
      </c>
      <c r="F64" t="s">
        <v>1630</v>
      </c>
      <c r="G64" t="s">
        <v>59</v>
      </c>
      <c r="H64" t="s">
        <v>59</v>
      </c>
      <c r="I64" t="s">
        <v>1630</v>
      </c>
      <c r="J64" t="s">
        <v>1630</v>
      </c>
      <c r="K64" t="s">
        <v>1630</v>
      </c>
      <c r="L64" t="s">
        <v>1630</v>
      </c>
      <c r="M64" t="s">
        <v>1630</v>
      </c>
      <c r="N64" t="s">
        <v>1630</v>
      </c>
      <c r="O64" t="s">
        <v>59</v>
      </c>
      <c r="P64" t="s">
        <v>1630</v>
      </c>
    </row>
    <row r="65" spans="1:16" x14ac:dyDescent="0.2">
      <c r="A65" s="148"/>
      <c r="B65">
        <v>136</v>
      </c>
      <c r="C65" t="s">
        <v>700</v>
      </c>
      <c r="D65" t="s">
        <v>701</v>
      </c>
      <c r="E65" t="s">
        <v>1630</v>
      </c>
      <c r="F65" t="s">
        <v>59</v>
      </c>
      <c r="G65" t="s">
        <v>59</v>
      </c>
      <c r="H65" t="s">
        <v>59</v>
      </c>
      <c r="I65" t="s">
        <v>1630</v>
      </c>
      <c r="J65" t="s">
        <v>1630</v>
      </c>
      <c r="K65" t="s">
        <v>1630</v>
      </c>
      <c r="L65" t="s">
        <v>59</v>
      </c>
      <c r="M65" t="s">
        <v>59</v>
      </c>
      <c r="N65" t="s">
        <v>59</v>
      </c>
      <c r="O65" t="s">
        <v>59</v>
      </c>
      <c r="P65" t="s">
        <v>1630</v>
      </c>
    </row>
    <row r="66" spans="1:16" x14ac:dyDescent="0.2">
      <c r="A66" s="148"/>
      <c r="B66">
        <v>74</v>
      </c>
      <c r="C66" t="s">
        <v>709</v>
      </c>
      <c r="D66" t="s">
        <v>710</v>
      </c>
      <c r="E66" t="s">
        <v>1630</v>
      </c>
      <c r="F66" t="s">
        <v>1630</v>
      </c>
      <c r="G66" t="s">
        <v>59</v>
      </c>
      <c r="H66" t="s">
        <v>59</v>
      </c>
      <c r="I66" t="s">
        <v>1630</v>
      </c>
      <c r="J66" t="s">
        <v>1630</v>
      </c>
      <c r="K66" t="s">
        <v>1630</v>
      </c>
      <c r="L66" t="s">
        <v>1630</v>
      </c>
      <c r="M66" t="s">
        <v>1630</v>
      </c>
      <c r="N66" t="s">
        <v>59</v>
      </c>
      <c r="O66" t="s">
        <v>1630</v>
      </c>
      <c r="P66" t="s">
        <v>1630</v>
      </c>
    </row>
    <row r="67" spans="1:16" x14ac:dyDescent="0.2">
      <c r="A67" s="148"/>
      <c r="B67">
        <v>49</v>
      </c>
      <c r="C67" t="s">
        <v>719</v>
      </c>
      <c r="D67" t="s">
        <v>720</v>
      </c>
      <c r="E67" t="s">
        <v>1630</v>
      </c>
      <c r="F67" t="s">
        <v>1630</v>
      </c>
      <c r="G67" t="s">
        <v>59</v>
      </c>
      <c r="H67" t="s">
        <v>59</v>
      </c>
      <c r="I67" t="s">
        <v>1630</v>
      </c>
      <c r="J67" t="s">
        <v>1630</v>
      </c>
      <c r="K67" t="s">
        <v>1630</v>
      </c>
      <c r="L67" t="s">
        <v>1630</v>
      </c>
      <c r="M67" t="s">
        <v>1630</v>
      </c>
      <c r="N67" t="s">
        <v>1630</v>
      </c>
      <c r="O67" t="s">
        <v>59</v>
      </c>
      <c r="P67" t="s">
        <v>1630</v>
      </c>
    </row>
    <row r="68" spans="1:16" x14ac:dyDescent="0.2">
      <c r="A68" s="148"/>
      <c r="B68">
        <v>100</v>
      </c>
      <c r="C68" t="s">
        <v>729</v>
      </c>
      <c r="D68" t="s">
        <v>720</v>
      </c>
      <c r="E68" t="s">
        <v>1630</v>
      </c>
      <c r="F68" t="s">
        <v>1630</v>
      </c>
      <c r="G68" t="s">
        <v>59</v>
      </c>
      <c r="H68" t="s">
        <v>59</v>
      </c>
      <c r="I68" t="s">
        <v>59</v>
      </c>
      <c r="J68" t="s">
        <v>1630</v>
      </c>
      <c r="K68" t="s">
        <v>1630</v>
      </c>
      <c r="L68" t="s">
        <v>1630</v>
      </c>
      <c r="M68" t="s">
        <v>1630</v>
      </c>
      <c r="N68" t="s">
        <v>1630</v>
      </c>
      <c r="O68" t="s">
        <v>59</v>
      </c>
      <c r="P68" t="s">
        <v>1630</v>
      </c>
    </row>
    <row r="69" spans="1:16" x14ac:dyDescent="0.2">
      <c r="A69" s="148"/>
      <c r="B69">
        <v>141</v>
      </c>
      <c r="C69" t="s">
        <v>736</v>
      </c>
      <c r="D69" t="s">
        <v>737</v>
      </c>
      <c r="E69" t="s">
        <v>59</v>
      </c>
      <c r="F69" t="s">
        <v>1630</v>
      </c>
      <c r="G69" t="s">
        <v>59</v>
      </c>
      <c r="H69" t="s">
        <v>59</v>
      </c>
      <c r="I69" t="s">
        <v>1630</v>
      </c>
      <c r="J69" t="s">
        <v>59</v>
      </c>
      <c r="K69" t="s">
        <v>59</v>
      </c>
      <c r="L69" t="s">
        <v>1630</v>
      </c>
      <c r="M69" t="s">
        <v>1630</v>
      </c>
      <c r="N69" t="s">
        <v>1630</v>
      </c>
      <c r="O69" t="s">
        <v>1630</v>
      </c>
      <c r="P69" t="s">
        <v>1630</v>
      </c>
    </row>
    <row r="70" spans="1:16" x14ac:dyDescent="0.2">
      <c r="A70" s="148"/>
      <c r="B70">
        <v>18</v>
      </c>
      <c r="C70" t="s">
        <v>748</v>
      </c>
      <c r="D70" t="s">
        <v>749</v>
      </c>
      <c r="E70" t="s">
        <v>1630</v>
      </c>
      <c r="F70" t="s">
        <v>1630</v>
      </c>
      <c r="G70" t="s">
        <v>59</v>
      </c>
      <c r="H70" t="s">
        <v>59</v>
      </c>
      <c r="I70" t="s">
        <v>59</v>
      </c>
      <c r="J70" t="s">
        <v>59</v>
      </c>
      <c r="K70" t="s">
        <v>1630</v>
      </c>
      <c r="L70" t="s">
        <v>1630</v>
      </c>
      <c r="M70" t="s">
        <v>1630</v>
      </c>
      <c r="N70" t="s">
        <v>59</v>
      </c>
      <c r="O70" t="s">
        <v>1630</v>
      </c>
      <c r="P70" t="s">
        <v>59</v>
      </c>
    </row>
    <row r="71" spans="1:16" x14ac:dyDescent="0.2">
      <c r="A71" s="148"/>
      <c r="B71">
        <v>48</v>
      </c>
      <c r="C71" t="s">
        <v>757</v>
      </c>
      <c r="D71" t="s">
        <v>758</v>
      </c>
      <c r="E71" t="s">
        <v>1630</v>
      </c>
      <c r="F71" t="s">
        <v>1630</v>
      </c>
      <c r="G71" t="s">
        <v>1630</v>
      </c>
      <c r="H71" t="s">
        <v>59</v>
      </c>
      <c r="I71" t="s">
        <v>1630</v>
      </c>
      <c r="J71" t="s">
        <v>1630</v>
      </c>
      <c r="K71" t="s">
        <v>1630</v>
      </c>
      <c r="L71" t="s">
        <v>1630</v>
      </c>
      <c r="M71" t="s">
        <v>1630</v>
      </c>
      <c r="N71" t="s">
        <v>59</v>
      </c>
      <c r="O71" t="s">
        <v>1630</v>
      </c>
      <c r="P71" t="s">
        <v>1630</v>
      </c>
    </row>
    <row r="72" spans="1:16" x14ac:dyDescent="0.2">
      <c r="A72" s="148"/>
      <c r="B72">
        <v>72</v>
      </c>
      <c r="C72" t="s">
        <v>766</v>
      </c>
      <c r="D72" t="s">
        <v>758</v>
      </c>
      <c r="E72" t="s">
        <v>1630</v>
      </c>
      <c r="F72" t="s">
        <v>1630</v>
      </c>
      <c r="G72" t="s">
        <v>1630</v>
      </c>
      <c r="H72" t="s">
        <v>59</v>
      </c>
      <c r="I72" t="s">
        <v>1630</v>
      </c>
      <c r="J72" t="s">
        <v>1630</v>
      </c>
      <c r="K72" t="s">
        <v>1630</v>
      </c>
      <c r="L72" t="s">
        <v>1630</v>
      </c>
      <c r="M72" t="s">
        <v>1630</v>
      </c>
      <c r="N72" t="s">
        <v>59</v>
      </c>
      <c r="O72" t="s">
        <v>1630</v>
      </c>
      <c r="P72" t="s">
        <v>1630</v>
      </c>
    </row>
    <row r="73" spans="1:16" x14ac:dyDescent="0.2">
      <c r="A73" s="148"/>
      <c r="B73">
        <v>92</v>
      </c>
      <c r="C73" t="s">
        <v>774</v>
      </c>
      <c r="D73" t="s">
        <v>775</v>
      </c>
      <c r="E73" t="s">
        <v>1630</v>
      </c>
      <c r="F73" t="s">
        <v>1630</v>
      </c>
      <c r="G73" t="s">
        <v>59</v>
      </c>
      <c r="H73" t="s">
        <v>59</v>
      </c>
      <c r="I73" t="s">
        <v>59</v>
      </c>
      <c r="J73" t="s">
        <v>59</v>
      </c>
      <c r="K73" t="s">
        <v>1630</v>
      </c>
      <c r="L73" t="s">
        <v>1630</v>
      </c>
      <c r="M73" t="s">
        <v>1630</v>
      </c>
      <c r="N73" t="s">
        <v>59</v>
      </c>
      <c r="O73" t="s">
        <v>59</v>
      </c>
      <c r="P73" t="s">
        <v>1630</v>
      </c>
    </row>
    <row r="74" spans="1:16" x14ac:dyDescent="0.2">
      <c r="A74" s="148"/>
      <c r="B74">
        <v>60</v>
      </c>
      <c r="C74" t="s">
        <v>783</v>
      </c>
      <c r="D74" t="s">
        <v>784</v>
      </c>
      <c r="E74" t="s">
        <v>59</v>
      </c>
      <c r="F74" t="s">
        <v>59</v>
      </c>
      <c r="G74" t="s">
        <v>59</v>
      </c>
      <c r="H74" t="s">
        <v>59</v>
      </c>
      <c r="I74" t="s">
        <v>1630</v>
      </c>
      <c r="J74" t="s">
        <v>1630</v>
      </c>
      <c r="K74" t="s">
        <v>1630</v>
      </c>
      <c r="L74" t="s">
        <v>59</v>
      </c>
      <c r="M74" t="s">
        <v>1630</v>
      </c>
      <c r="N74" t="s">
        <v>1630</v>
      </c>
      <c r="O74" t="s">
        <v>59</v>
      </c>
      <c r="P74" t="s">
        <v>1630</v>
      </c>
    </row>
    <row r="75" spans="1:16" x14ac:dyDescent="0.2">
      <c r="A75" s="148"/>
      <c r="B75">
        <v>145</v>
      </c>
      <c r="C75" t="s">
        <v>791</v>
      </c>
      <c r="D75" t="s">
        <v>792</v>
      </c>
      <c r="E75" t="s">
        <v>1630</v>
      </c>
      <c r="F75" t="s">
        <v>1630</v>
      </c>
      <c r="G75" t="s">
        <v>1630</v>
      </c>
      <c r="H75" t="s">
        <v>59</v>
      </c>
      <c r="I75" t="s">
        <v>59</v>
      </c>
      <c r="J75" t="s">
        <v>1630</v>
      </c>
      <c r="K75" t="s">
        <v>1630</v>
      </c>
      <c r="L75" t="s">
        <v>59</v>
      </c>
      <c r="M75" t="s">
        <v>59</v>
      </c>
      <c r="N75" t="s">
        <v>1630</v>
      </c>
      <c r="O75" t="s">
        <v>1630</v>
      </c>
      <c r="P75" t="s">
        <v>1630</v>
      </c>
    </row>
    <row r="76" spans="1:16" x14ac:dyDescent="0.2">
      <c r="A76" s="148"/>
      <c r="B76">
        <v>45</v>
      </c>
      <c r="C76" t="s">
        <v>804</v>
      </c>
      <c r="D76" t="s">
        <v>805</v>
      </c>
      <c r="E76" t="s">
        <v>59</v>
      </c>
      <c r="F76" t="s">
        <v>1630</v>
      </c>
      <c r="G76" t="s">
        <v>59</v>
      </c>
      <c r="H76" t="s">
        <v>1630</v>
      </c>
      <c r="I76" t="s">
        <v>59</v>
      </c>
      <c r="J76" t="s">
        <v>1630</v>
      </c>
      <c r="K76" t="s">
        <v>59</v>
      </c>
      <c r="L76" t="s">
        <v>1630</v>
      </c>
      <c r="M76" t="s">
        <v>1630</v>
      </c>
      <c r="N76" t="s">
        <v>1630</v>
      </c>
      <c r="O76" t="s">
        <v>1630</v>
      </c>
      <c r="P76" t="s">
        <v>1630</v>
      </c>
    </row>
    <row r="77" spans="1:16" x14ac:dyDescent="0.2">
      <c r="A77" s="148"/>
      <c r="B77">
        <v>29</v>
      </c>
      <c r="C77" t="s">
        <v>817</v>
      </c>
      <c r="D77" t="s">
        <v>818</v>
      </c>
      <c r="E77" t="s">
        <v>59</v>
      </c>
      <c r="F77" t="s">
        <v>1630</v>
      </c>
      <c r="G77" t="s">
        <v>59</v>
      </c>
      <c r="H77" t="s">
        <v>59</v>
      </c>
      <c r="I77" t="s">
        <v>59</v>
      </c>
      <c r="J77" t="s">
        <v>1630</v>
      </c>
      <c r="K77" t="s">
        <v>1630</v>
      </c>
      <c r="L77" t="s">
        <v>1630</v>
      </c>
      <c r="M77" t="s">
        <v>1630</v>
      </c>
      <c r="N77" t="s">
        <v>1630</v>
      </c>
      <c r="O77" t="s">
        <v>1630</v>
      </c>
      <c r="P77" t="s">
        <v>1630</v>
      </c>
    </row>
    <row r="78" spans="1:16" x14ac:dyDescent="0.2">
      <c r="A78" s="148"/>
      <c r="B78">
        <v>113</v>
      </c>
      <c r="C78" t="s">
        <v>826</v>
      </c>
      <c r="D78" t="s">
        <v>827</v>
      </c>
      <c r="E78" t="s">
        <v>59</v>
      </c>
      <c r="F78" t="s">
        <v>59</v>
      </c>
      <c r="G78" t="s">
        <v>59</v>
      </c>
      <c r="H78" t="s">
        <v>59</v>
      </c>
      <c r="I78" t="s">
        <v>59</v>
      </c>
      <c r="J78" t="s">
        <v>59</v>
      </c>
      <c r="K78" t="s">
        <v>59</v>
      </c>
      <c r="L78" t="s">
        <v>1630</v>
      </c>
      <c r="M78" t="s">
        <v>59</v>
      </c>
      <c r="N78" t="s">
        <v>59</v>
      </c>
      <c r="O78" t="s">
        <v>59</v>
      </c>
      <c r="P78" t="s">
        <v>59</v>
      </c>
    </row>
    <row r="79" spans="1:16" x14ac:dyDescent="0.2">
      <c r="A79" s="148" t="s">
        <v>834</v>
      </c>
      <c r="B79">
        <v>26</v>
      </c>
      <c r="C79" t="s">
        <v>835</v>
      </c>
      <c r="D79" t="s">
        <v>836</v>
      </c>
      <c r="E79" t="s">
        <v>1630</v>
      </c>
      <c r="F79" t="s">
        <v>1630</v>
      </c>
      <c r="G79" t="s">
        <v>59</v>
      </c>
      <c r="H79" t="s">
        <v>59</v>
      </c>
      <c r="I79" t="s">
        <v>59</v>
      </c>
      <c r="J79" t="s">
        <v>59</v>
      </c>
      <c r="K79" t="s">
        <v>1630</v>
      </c>
      <c r="L79" t="s">
        <v>1630</v>
      </c>
      <c r="M79" t="s">
        <v>1630</v>
      </c>
      <c r="N79" t="s">
        <v>1630</v>
      </c>
      <c r="O79" t="s">
        <v>1630</v>
      </c>
      <c r="P79" t="s">
        <v>1630</v>
      </c>
    </row>
    <row r="80" spans="1:16" x14ac:dyDescent="0.2">
      <c r="A80" s="148"/>
      <c r="B80">
        <v>122</v>
      </c>
      <c r="C80" t="s">
        <v>848</v>
      </c>
      <c r="D80" t="s">
        <v>849</v>
      </c>
      <c r="E80" t="s">
        <v>59</v>
      </c>
      <c r="F80" t="s">
        <v>1630</v>
      </c>
      <c r="G80" t="s">
        <v>59</v>
      </c>
      <c r="H80" t="s">
        <v>59</v>
      </c>
      <c r="I80" t="s">
        <v>1630</v>
      </c>
      <c r="J80" t="s">
        <v>59</v>
      </c>
      <c r="K80" t="s">
        <v>1630</v>
      </c>
      <c r="L80" t="s">
        <v>1630</v>
      </c>
      <c r="M80" t="s">
        <v>59</v>
      </c>
      <c r="N80" t="s">
        <v>1630</v>
      </c>
      <c r="O80" t="s">
        <v>59</v>
      </c>
      <c r="P80" t="s">
        <v>1630</v>
      </c>
    </row>
    <row r="81" spans="1:16" x14ac:dyDescent="0.2">
      <c r="A81" s="148"/>
      <c r="B81">
        <v>2</v>
      </c>
      <c r="C81" t="s">
        <v>857</v>
      </c>
      <c r="D81" t="s">
        <v>858</v>
      </c>
      <c r="E81" t="s">
        <v>1630</v>
      </c>
      <c r="F81" t="s">
        <v>1630</v>
      </c>
      <c r="G81" t="s">
        <v>1630</v>
      </c>
      <c r="H81" t="s">
        <v>1630</v>
      </c>
      <c r="I81" t="s">
        <v>1630</v>
      </c>
      <c r="J81" t="s">
        <v>1630</v>
      </c>
      <c r="K81" t="s">
        <v>1630</v>
      </c>
      <c r="L81" t="s">
        <v>1630</v>
      </c>
      <c r="M81" t="s">
        <v>1630</v>
      </c>
      <c r="N81" t="s">
        <v>1630</v>
      </c>
      <c r="O81" t="s">
        <v>1630</v>
      </c>
      <c r="P81" t="s">
        <v>1630</v>
      </c>
    </row>
    <row r="82" spans="1:16" x14ac:dyDescent="0.2">
      <c r="A82" s="148"/>
      <c r="B82">
        <v>95</v>
      </c>
      <c r="C82" t="s">
        <v>868</v>
      </c>
      <c r="D82" t="s">
        <v>869</v>
      </c>
      <c r="E82" t="s">
        <v>1630</v>
      </c>
      <c r="F82" t="s">
        <v>1630</v>
      </c>
      <c r="G82" t="s">
        <v>59</v>
      </c>
      <c r="H82" t="s">
        <v>59</v>
      </c>
      <c r="I82" t="s">
        <v>59</v>
      </c>
      <c r="J82" t="s">
        <v>1630</v>
      </c>
      <c r="K82" t="s">
        <v>1630</v>
      </c>
      <c r="L82" t="s">
        <v>1630</v>
      </c>
      <c r="M82" t="s">
        <v>59</v>
      </c>
      <c r="N82" t="s">
        <v>59</v>
      </c>
      <c r="O82" t="s">
        <v>59</v>
      </c>
      <c r="P82" t="s">
        <v>1630</v>
      </c>
    </row>
    <row r="83" spans="1:16" x14ac:dyDescent="0.2">
      <c r="A83" s="148"/>
      <c r="B83">
        <v>110</v>
      </c>
      <c r="C83" t="s">
        <v>876</v>
      </c>
      <c r="D83" t="s">
        <v>877</v>
      </c>
      <c r="E83" t="s">
        <v>59</v>
      </c>
      <c r="F83" t="s">
        <v>1630</v>
      </c>
      <c r="G83" t="s">
        <v>59</v>
      </c>
      <c r="H83" t="s">
        <v>59</v>
      </c>
      <c r="I83" t="s">
        <v>59</v>
      </c>
      <c r="J83" t="s">
        <v>59</v>
      </c>
      <c r="K83" t="s">
        <v>1630</v>
      </c>
      <c r="L83" t="s">
        <v>1630</v>
      </c>
      <c r="M83" t="s">
        <v>1630</v>
      </c>
      <c r="N83" t="s">
        <v>1630</v>
      </c>
      <c r="O83" t="s">
        <v>59</v>
      </c>
      <c r="P83" t="s">
        <v>1630</v>
      </c>
    </row>
    <row r="84" spans="1:16" x14ac:dyDescent="0.2">
      <c r="A84" s="148"/>
      <c r="B84">
        <v>67</v>
      </c>
      <c r="C84" t="s">
        <v>888</v>
      </c>
      <c r="D84" t="s">
        <v>889</v>
      </c>
      <c r="E84" t="s">
        <v>59</v>
      </c>
      <c r="F84" t="s">
        <v>1630</v>
      </c>
      <c r="G84" t="s">
        <v>59</v>
      </c>
      <c r="H84" t="s">
        <v>59</v>
      </c>
      <c r="I84" t="s">
        <v>1630</v>
      </c>
      <c r="J84" t="s">
        <v>59</v>
      </c>
      <c r="K84" t="s">
        <v>1630</v>
      </c>
      <c r="L84" t="s">
        <v>1630</v>
      </c>
      <c r="M84" t="s">
        <v>1630</v>
      </c>
      <c r="N84" t="s">
        <v>1630</v>
      </c>
      <c r="O84" t="s">
        <v>1630</v>
      </c>
      <c r="P84" t="s">
        <v>1630</v>
      </c>
    </row>
    <row r="85" spans="1:16" x14ac:dyDescent="0.2">
      <c r="A85" s="148" t="s">
        <v>897</v>
      </c>
      <c r="B85">
        <v>22</v>
      </c>
      <c r="C85" t="s">
        <v>898</v>
      </c>
      <c r="D85" t="s">
        <v>899</v>
      </c>
      <c r="E85" t="s">
        <v>1630</v>
      </c>
      <c r="F85" t="s">
        <v>1630</v>
      </c>
      <c r="G85" t="s">
        <v>59</v>
      </c>
      <c r="H85" t="s">
        <v>59</v>
      </c>
      <c r="I85" t="s">
        <v>1630</v>
      </c>
      <c r="J85" t="s">
        <v>59</v>
      </c>
      <c r="K85" t="s">
        <v>1630</v>
      </c>
      <c r="L85" t="s">
        <v>1630</v>
      </c>
      <c r="M85" t="s">
        <v>1630</v>
      </c>
      <c r="N85" t="s">
        <v>1630</v>
      </c>
      <c r="O85" t="s">
        <v>1630</v>
      </c>
      <c r="P85" t="s">
        <v>59</v>
      </c>
    </row>
    <row r="86" spans="1:16" x14ac:dyDescent="0.2">
      <c r="A86" s="148"/>
      <c r="B86">
        <v>80</v>
      </c>
      <c r="C86" t="s">
        <v>907</v>
      </c>
      <c r="D86" t="s">
        <v>908</v>
      </c>
      <c r="E86" t="s">
        <v>1630</v>
      </c>
      <c r="F86" t="s">
        <v>1630</v>
      </c>
      <c r="G86" t="s">
        <v>59</v>
      </c>
      <c r="H86" t="s">
        <v>1630</v>
      </c>
      <c r="I86" t="s">
        <v>1630</v>
      </c>
      <c r="J86" t="s">
        <v>1630</v>
      </c>
      <c r="K86" t="s">
        <v>1630</v>
      </c>
      <c r="L86" t="s">
        <v>1630</v>
      </c>
      <c r="M86" t="s">
        <v>59</v>
      </c>
      <c r="N86" t="s">
        <v>59</v>
      </c>
      <c r="O86" t="s">
        <v>59</v>
      </c>
      <c r="P86" t="s">
        <v>1630</v>
      </c>
    </row>
    <row r="87" spans="1:16" x14ac:dyDescent="0.2">
      <c r="A87" s="148"/>
      <c r="B87">
        <v>10</v>
      </c>
      <c r="C87" t="s">
        <v>916</v>
      </c>
      <c r="D87" t="s">
        <v>917</v>
      </c>
      <c r="E87" t="s">
        <v>1630</v>
      </c>
      <c r="F87" t="s">
        <v>1630</v>
      </c>
      <c r="G87" t="s">
        <v>59</v>
      </c>
      <c r="H87" t="s">
        <v>1630</v>
      </c>
      <c r="I87" t="s">
        <v>1630</v>
      </c>
      <c r="J87" t="s">
        <v>1630</v>
      </c>
      <c r="K87" t="s">
        <v>1630</v>
      </c>
      <c r="L87" t="s">
        <v>1630</v>
      </c>
      <c r="M87" t="s">
        <v>1630</v>
      </c>
      <c r="N87" t="s">
        <v>1630</v>
      </c>
      <c r="O87" t="s">
        <v>1630</v>
      </c>
      <c r="P87" t="s">
        <v>1630</v>
      </c>
    </row>
    <row r="88" spans="1:16" x14ac:dyDescent="0.2">
      <c r="A88" s="148"/>
      <c r="B88">
        <v>96</v>
      </c>
      <c r="C88" t="s">
        <v>928</v>
      </c>
      <c r="D88" t="s">
        <v>929</v>
      </c>
      <c r="E88" t="s">
        <v>59</v>
      </c>
      <c r="F88" t="s">
        <v>1630</v>
      </c>
      <c r="G88" t="s">
        <v>59</v>
      </c>
      <c r="H88" t="s">
        <v>1630</v>
      </c>
      <c r="I88" t="s">
        <v>1630</v>
      </c>
      <c r="J88" t="s">
        <v>1630</v>
      </c>
      <c r="K88" t="s">
        <v>1630</v>
      </c>
      <c r="L88" t="s">
        <v>1630</v>
      </c>
      <c r="M88" t="s">
        <v>1630</v>
      </c>
      <c r="N88" t="s">
        <v>59</v>
      </c>
      <c r="O88" t="s">
        <v>59</v>
      </c>
      <c r="P88" t="s">
        <v>1630</v>
      </c>
    </row>
    <row r="89" spans="1:16" x14ac:dyDescent="0.2">
      <c r="A89" s="148"/>
      <c r="B89">
        <v>120</v>
      </c>
      <c r="C89" t="s">
        <v>937</v>
      </c>
      <c r="D89" t="s">
        <v>929</v>
      </c>
      <c r="E89" t="s">
        <v>1630</v>
      </c>
      <c r="F89" t="s">
        <v>1630</v>
      </c>
      <c r="G89" t="s">
        <v>1630</v>
      </c>
      <c r="H89" t="s">
        <v>1630</v>
      </c>
      <c r="I89" t="s">
        <v>59</v>
      </c>
      <c r="J89" t="s">
        <v>1630</v>
      </c>
      <c r="K89" t="s">
        <v>1630</v>
      </c>
      <c r="L89" t="s">
        <v>1630</v>
      </c>
      <c r="M89" t="s">
        <v>1630</v>
      </c>
      <c r="N89" t="s">
        <v>59</v>
      </c>
      <c r="O89" t="s">
        <v>59</v>
      </c>
      <c r="P89" t="s">
        <v>1630</v>
      </c>
    </row>
    <row r="90" spans="1:16" x14ac:dyDescent="0.2">
      <c r="A90" s="148"/>
      <c r="B90">
        <v>148</v>
      </c>
      <c r="C90" t="s">
        <v>942</v>
      </c>
      <c r="D90" t="s">
        <v>114</v>
      </c>
      <c r="E90" t="s">
        <v>1630</v>
      </c>
      <c r="F90" t="s">
        <v>1630</v>
      </c>
      <c r="G90" t="s">
        <v>1630</v>
      </c>
      <c r="H90" t="s">
        <v>59</v>
      </c>
      <c r="I90" t="s">
        <v>1630</v>
      </c>
      <c r="J90" t="s">
        <v>1630</v>
      </c>
      <c r="K90" t="s">
        <v>1630</v>
      </c>
      <c r="L90" t="s">
        <v>1630</v>
      </c>
      <c r="M90" t="s">
        <v>1630</v>
      </c>
      <c r="N90" t="s">
        <v>1630</v>
      </c>
      <c r="O90" t="s">
        <v>59</v>
      </c>
      <c r="P90" t="s">
        <v>1630</v>
      </c>
    </row>
    <row r="91" spans="1:16" x14ac:dyDescent="0.2">
      <c r="A91" s="148"/>
      <c r="B91">
        <v>17</v>
      </c>
      <c r="C91" t="s">
        <v>954</v>
      </c>
      <c r="D91" t="s">
        <v>955</v>
      </c>
      <c r="E91" t="s">
        <v>1630</v>
      </c>
      <c r="F91" t="s">
        <v>1630</v>
      </c>
      <c r="G91" t="s">
        <v>1630</v>
      </c>
      <c r="H91" t="s">
        <v>59</v>
      </c>
      <c r="I91" t="s">
        <v>1630</v>
      </c>
      <c r="J91" t="s">
        <v>1630</v>
      </c>
      <c r="K91" t="s">
        <v>1630</v>
      </c>
      <c r="L91" t="s">
        <v>1630</v>
      </c>
      <c r="M91" t="s">
        <v>1630</v>
      </c>
      <c r="N91" t="s">
        <v>59</v>
      </c>
      <c r="O91" t="s">
        <v>59</v>
      </c>
      <c r="P91" t="s">
        <v>1630</v>
      </c>
    </row>
    <row r="92" spans="1:16" x14ac:dyDescent="0.2">
      <c r="A92" s="148"/>
      <c r="B92">
        <v>154</v>
      </c>
      <c r="C92" t="s">
        <v>962</v>
      </c>
      <c r="D92" t="s">
        <v>963</v>
      </c>
      <c r="E92" t="s">
        <v>59</v>
      </c>
      <c r="F92" t="s">
        <v>1630</v>
      </c>
      <c r="G92" t="s">
        <v>59</v>
      </c>
      <c r="H92" t="s">
        <v>1630</v>
      </c>
      <c r="I92" t="s">
        <v>1630</v>
      </c>
      <c r="J92" t="s">
        <v>1630</v>
      </c>
      <c r="K92" t="s">
        <v>1630</v>
      </c>
      <c r="L92" t="s">
        <v>59</v>
      </c>
      <c r="M92" t="s">
        <v>59</v>
      </c>
      <c r="N92" t="s">
        <v>1630</v>
      </c>
      <c r="O92" t="s">
        <v>59</v>
      </c>
      <c r="P92" t="s">
        <v>1630</v>
      </c>
    </row>
    <row r="93" spans="1:16" x14ac:dyDescent="0.2">
      <c r="A93" s="148"/>
      <c r="B93">
        <v>116</v>
      </c>
      <c r="C93" t="s">
        <v>973</v>
      </c>
      <c r="D93" t="s">
        <v>974</v>
      </c>
      <c r="E93" t="s">
        <v>1630</v>
      </c>
      <c r="F93" t="s">
        <v>1630</v>
      </c>
      <c r="G93" t="s">
        <v>59</v>
      </c>
      <c r="H93" t="s">
        <v>59</v>
      </c>
      <c r="I93" t="s">
        <v>1630</v>
      </c>
      <c r="J93" t="s">
        <v>1630</v>
      </c>
      <c r="K93" t="s">
        <v>1630</v>
      </c>
      <c r="L93" t="s">
        <v>1630</v>
      </c>
      <c r="M93" t="s">
        <v>1630</v>
      </c>
      <c r="N93" t="s">
        <v>59</v>
      </c>
      <c r="O93" t="s">
        <v>59</v>
      </c>
      <c r="P93" t="s">
        <v>1630</v>
      </c>
    </row>
    <row r="94" spans="1:16" x14ac:dyDescent="0.2">
      <c r="A94" s="148"/>
      <c r="B94">
        <v>109</v>
      </c>
      <c r="C94" t="s">
        <v>985</v>
      </c>
      <c r="D94" t="s">
        <v>986</v>
      </c>
      <c r="E94" t="s">
        <v>1630</v>
      </c>
      <c r="F94" t="s">
        <v>1630</v>
      </c>
      <c r="G94" t="s">
        <v>59</v>
      </c>
      <c r="H94" t="s">
        <v>1630</v>
      </c>
      <c r="I94" t="s">
        <v>1630</v>
      </c>
      <c r="J94" t="s">
        <v>1630</v>
      </c>
      <c r="K94" t="s">
        <v>1630</v>
      </c>
      <c r="L94" t="s">
        <v>1630</v>
      </c>
      <c r="M94" t="s">
        <v>1630</v>
      </c>
      <c r="N94" t="s">
        <v>59</v>
      </c>
      <c r="O94" t="s">
        <v>1630</v>
      </c>
      <c r="P94" t="s">
        <v>1630</v>
      </c>
    </row>
    <row r="95" spans="1:16" x14ac:dyDescent="0.2">
      <c r="A95" s="148"/>
      <c r="B95">
        <v>34</v>
      </c>
      <c r="C95" t="s">
        <v>1636</v>
      </c>
      <c r="D95" t="s">
        <v>994</v>
      </c>
      <c r="E95" t="s">
        <v>1630</v>
      </c>
      <c r="F95" t="s">
        <v>1630</v>
      </c>
      <c r="G95" t="s">
        <v>59</v>
      </c>
      <c r="H95" t="s">
        <v>59</v>
      </c>
      <c r="I95" t="s">
        <v>1630</v>
      </c>
      <c r="J95" t="s">
        <v>1630</v>
      </c>
      <c r="K95" t="s">
        <v>1630</v>
      </c>
      <c r="L95" t="s">
        <v>1630</v>
      </c>
      <c r="M95" t="s">
        <v>1630</v>
      </c>
      <c r="N95" t="s">
        <v>59</v>
      </c>
      <c r="O95" t="s">
        <v>1630</v>
      </c>
      <c r="P95" t="s">
        <v>1630</v>
      </c>
    </row>
    <row r="96" spans="1:16" x14ac:dyDescent="0.2">
      <c r="A96" s="148"/>
      <c r="B96">
        <v>69</v>
      </c>
      <c r="C96" t="s">
        <v>1001</v>
      </c>
      <c r="D96" t="s">
        <v>1002</v>
      </c>
      <c r="E96" t="s">
        <v>1630</v>
      </c>
      <c r="F96" t="s">
        <v>1630</v>
      </c>
      <c r="G96" t="s">
        <v>1630</v>
      </c>
      <c r="H96" t="s">
        <v>1630</v>
      </c>
      <c r="I96" t="s">
        <v>1630</v>
      </c>
      <c r="J96" t="s">
        <v>1630</v>
      </c>
      <c r="K96" t="s">
        <v>1630</v>
      </c>
      <c r="L96" t="s">
        <v>1630</v>
      </c>
      <c r="M96" t="s">
        <v>1630</v>
      </c>
      <c r="N96" t="s">
        <v>59</v>
      </c>
      <c r="O96" t="s">
        <v>1630</v>
      </c>
      <c r="P96" t="s">
        <v>1630</v>
      </c>
    </row>
    <row r="97" spans="1:16" x14ac:dyDescent="0.2">
      <c r="A97" s="148"/>
      <c r="B97">
        <v>137</v>
      </c>
      <c r="C97" t="s">
        <v>1008</v>
      </c>
      <c r="D97" t="s">
        <v>858</v>
      </c>
      <c r="E97" t="s">
        <v>1630</v>
      </c>
      <c r="F97" t="s">
        <v>1630</v>
      </c>
      <c r="G97" t="s">
        <v>1630</v>
      </c>
      <c r="H97" t="s">
        <v>1630</v>
      </c>
      <c r="I97" t="s">
        <v>1630</v>
      </c>
      <c r="J97" t="s">
        <v>1630</v>
      </c>
      <c r="K97" t="s">
        <v>1630</v>
      </c>
      <c r="L97" t="s">
        <v>1630</v>
      </c>
      <c r="M97" t="s">
        <v>59</v>
      </c>
      <c r="N97" t="s">
        <v>1630</v>
      </c>
      <c r="O97" t="s">
        <v>1630</v>
      </c>
      <c r="P97" t="s">
        <v>1630</v>
      </c>
    </row>
    <row r="98" spans="1:16" x14ac:dyDescent="0.2">
      <c r="A98" s="148"/>
      <c r="B98">
        <v>101</v>
      </c>
      <c r="C98" t="s">
        <v>1020</v>
      </c>
      <c r="D98" t="s">
        <v>549</v>
      </c>
      <c r="E98" t="s">
        <v>1630</v>
      </c>
      <c r="F98" t="s">
        <v>59</v>
      </c>
      <c r="G98" t="s">
        <v>59</v>
      </c>
      <c r="H98" t="s">
        <v>59</v>
      </c>
      <c r="I98" t="s">
        <v>59</v>
      </c>
      <c r="J98" t="s">
        <v>1630</v>
      </c>
      <c r="K98" t="s">
        <v>1630</v>
      </c>
      <c r="L98" t="s">
        <v>59</v>
      </c>
      <c r="M98" t="s">
        <v>59</v>
      </c>
      <c r="N98" t="s">
        <v>1630</v>
      </c>
      <c r="O98" t="s">
        <v>1630</v>
      </c>
      <c r="P98" t="s">
        <v>1630</v>
      </c>
    </row>
    <row r="99" spans="1:16" x14ac:dyDescent="0.2">
      <c r="A99" s="148"/>
      <c r="B99">
        <v>65</v>
      </c>
      <c r="C99" t="s">
        <v>1029</v>
      </c>
      <c r="D99" t="s">
        <v>1030</v>
      </c>
      <c r="E99" t="s">
        <v>1630</v>
      </c>
      <c r="F99" t="s">
        <v>1630</v>
      </c>
      <c r="G99" t="s">
        <v>59</v>
      </c>
      <c r="H99" t="s">
        <v>59</v>
      </c>
      <c r="I99" t="s">
        <v>59</v>
      </c>
      <c r="J99" t="s">
        <v>59</v>
      </c>
      <c r="K99" t="s">
        <v>1630</v>
      </c>
      <c r="L99" t="s">
        <v>1630</v>
      </c>
      <c r="M99" t="s">
        <v>59</v>
      </c>
      <c r="N99" t="s">
        <v>1630</v>
      </c>
      <c r="O99" t="s">
        <v>59</v>
      </c>
      <c r="P99" t="s">
        <v>1630</v>
      </c>
    </row>
    <row r="100" spans="1:16" x14ac:dyDescent="0.2">
      <c r="A100" s="148"/>
      <c r="B100">
        <v>55</v>
      </c>
      <c r="C100" t="s">
        <v>1038</v>
      </c>
      <c r="D100" t="s">
        <v>1039</v>
      </c>
      <c r="E100" t="s">
        <v>1630</v>
      </c>
      <c r="F100" t="s">
        <v>1630</v>
      </c>
      <c r="G100" t="s">
        <v>59</v>
      </c>
      <c r="H100" t="s">
        <v>59</v>
      </c>
      <c r="I100" t="s">
        <v>59</v>
      </c>
      <c r="J100" t="s">
        <v>1630</v>
      </c>
      <c r="K100" t="s">
        <v>1630</v>
      </c>
      <c r="L100" t="s">
        <v>1630</v>
      </c>
      <c r="M100" t="s">
        <v>1630</v>
      </c>
      <c r="N100" t="s">
        <v>59</v>
      </c>
      <c r="O100" t="s">
        <v>1630</v>
      </c>
      <c r="P100" t="s">
        <v>1630</v>
      </c>
    </row>
    <row r="101" spans="1:16" x14ac:dyDescent="0.2">
      <c r="A101" s="148"/>
      <c r="B101">
        <v>146</v>
      </c>
      <c r="C101" t="s">
        <v>1047</v>
      </c>
      <c r="D101" t="s">
        <v>1048</v>
      </c>
      <c r="E101" t="s">
        <v>1630</v>
      </c>
      <c r="F101" t="s">
        <v>1630</v>
      </c>
      <c r="G101" t="s">
        <v>1630</v>
      </c>
      <c r="H101" t="s">
        <v>1630</v>
      </c>
      <c r="I101" t="s">
        <v>1630</v>
      </c>
      <c r="J101" t="s">
        <v>1630</v>
      </c>
      <c r="K101" t="s">
        <v>1630</v>
      </c>
      <c r="L101" t="s">
        <v>1630</v>
      </c>
      <c r="M101" t="s">
        <v>1630</v>
      </c>
      <c r="N101" t="s">
        <v>1630</v>
      </c>
      <c r="O101" t="s">
        <v>1630</v>
      </c>
      <c r="P101" t="s">
        <v>1630</v>
      </c>
    </row>
    <row r="102" spans="1:16" x14ac:dyDescent="0.2">
      <c r="A102" s="148"/>
      <c r="B102">
        <v>56</v>
      </c>
      <c r="C102" t="s">
        <v>1065</v>
      </c>
      <c r="D102" t="s">
        <v>1066</v>
      </c>
      <c r="E102" t="s">
        <v>1630</v>
      </c>
      <c r="F102" t="s">
        <v>1630</v>
      </c>
      <c r="G102" t="s">
        <v>59</v>
      </c>
      <c r="H102" t="s">
        <v>59</v>
      </c>
      <c r="I102" t="s">
        <v>1630</v>
      </c>
      <c r="J102" t="s">
        <v>59</v>
      </c>
      <c r="K102" t="s">
        <v>1630</v>
      </c>
      <c r="L102" t="s">
        <v>1630</v>
      </c>
      <c r="M102" t="s">
        <v>1630</v>
      </c>
      <c r="N102" t="s">
        <v>1630</v>
      </c>
      <c r="O102" t="s">
        <v>1630</v>
      </c>
      <c r="P102" t="s">
        <v>1630</v>
      </c>
    </row>
    <row r="103" spans="1:16" x14ac:dyDescent="0.2">
      <c r="A103" s="148"/>
      <c r="B103">
        <v>73</v>
      </c>
      <c r="C103" t="s">
        <v>1073</v>
      </c>
      <c r="D103" t="s">
        <v>1074</v>
      </c>
      <c r="E103" t="s">
        <v>59</v>
      </c>
      <c r="F103" t="s">
        <v>1630</v>
      </c>
      <c r="G103" t="s">
        <v>59</v>
      </c>
      <c r="H103" t="s">
        <v>1630</v>
      </c>
      <c r="I103" t="s">
        <v>1630</v>
      </c>
      <c r="J103" t="s">
        <v>1630</v>
      </c>
      <c r="K103" t="s">
        <v>1630</v>
      </c>
      <c r="L103" t="s">
        <v>1630</v>
      </c>
      <c r="M103" t="s">
        <v>1630</v>
      </c>
      <c r="N103" t="s">
        <v>1630</v>
      </c>
      <c r="O103" t="s">
        <v>59</v>
      </c>
      <c r="P103" t="s">
        <v>1630</v>
      </c>
    </row>
    <row r="104" spans="1:16" x14ac:dyDescent="0.2">
      <c r="A104" s="148"/>
      <c r="B104">
        <v>117</v>
      </c>
      <c r="C104" t="s">
        <v>1082</v>
      </c>
      <c r="D104" t="s">
        <v>1083</v>
      </c>
      <c r="E104" t="s">
        <v>1630</v>
      </c>
      <c r="F104" t="s">
        <v>1630</v>
      </c>
      <c r="G104" t="s">
        <v>59</v>
      </c>
      <c r="H104" t="s">
        <v>1630</v>
      </c>
      <c r="I104" t="s">
        <v>1630</v>
      </c>
      <c r="J104" t="s">
        <v>1630</v>
      </c>
      <c r="K104" t="s">
        <v>1630</v>
      </c>
      <c r="L104" t="s">
        <v>1630</v>
      </c>
      <c r="M104" t="s">
        <v>1630</v>
      </c>
      <c r="O104" t="s">
        <v>1630</v>
      </c>
      <c r="P104" t="s">
        <v>1630</v>
      </c>
    </row>
    <row r="105" spans="1:16" x14ac:dyDescent="0.2">
      <c r="A105" s="148"/>
      <c r="B105">
        <v>123</v>
      </c>
      <c r="C105" t="s">
        <v>1097</v>
      </c>
      <c r="D105" t="s">
        <v>1098</v>
      </c>
      <c r="E105" t="s">
        <v>1630</v>
      </c>
      <c r="F105" t="s">
        <v>1630</v>
      </c>
      <c r="G105" t="s">
        <v>1630</v>
      </c>
      <c r="H105" t="s">
        <v>1630</v>
      </c>
      <c r="I105" t="s">
        <v>1630</v>
      </c>
      <c r="J105" t="s">
        <v>1630</v>
      </c>
      <c r="K105" t="s">
        <v>1630</v>
      </c>
      <c r="L105" t="s">
        <v>1630</v>
      </c>
      <c r="M105" t="s">
        <v>1630</v>
      </c>
      <c r="O105" t="s">
        <v>59</v>
      </c>
      <c r="P105" t="s">
        <v>1630</v>
      </c>
    </row>
    <row r="106" spans="1:16" x14ac:dyDescent="0.2">
      <c r="A106" s="148"/>
      <c r="B106">
        <v>131</v>
      </c>
      <c r="C106" t="s">
        <v>1111</v>
      </c>
      <c r="D106" t="s">
        <v>1112</v>
      </c>
      <c r="E106" t="s">
        <v>1630</v>
      </c>
      <c r="F106" t="s">
        <v>1630</v>
      </c>
      <c r="G106" t="s">
        <v>1630</v>
      </c>
      <c r="H106" t="s">
        <v>59</v>
      </c>
      <c r="I106" t="s">
        <v>1630</v>
      </c>
      <c r="J106" t="s">
        <v>1630</v>
      </c>
      <c r="K106" t="s">
        <v>1630</v>
      </c>
      <c r="L106" t="s">
        <v>1630</v>
      </c>
      <c r="M106" t="s">
        <v>1630</v>
      </c>
      <c r="N106" t="s">
        <v>59</v>
      </c>
      <c r="O106" t="s">
        <v>1630</v>
      </c>
      <c r="P106" t="s">
        <v>1630</v>
      </c>
    </row>
    <row r="107" spans="1:16" x14ac:dyDescent="0.2">
      <c r="A107" s="148"/>
      <c r="B107">
        <v>40</v>
      </c>
      <c r="C107" t="s">
        <v>1125</v>
      </c>
      <c r="D107" t="s">
        <v>1126</v>
      </c>
      <c r="E107" t="s">
        <v>1630</v>
      </c>
      <c r="F107" t="s">
        <v>1630</v>
      </c>
      <c r="G107" t="s">
        <v>59</v>
      </c>
      <c r="H107" t="s">
        <v>59</v>
      </c>
      <c r="I107" t="s">
        <v>1630</v>
      </c>
      <c r="J107" t="s">
        <v>59</v>
      </c>
      <c r="K107" t="s">
        <v>1630</v>
      </c>
      <c r="L107" t="s">
        <v>1630</v>
      </c>
      <c r="M107" t="s">
        <v>1630</v>
      </c>
      <c r="N107" t="s">
        <v>59</v>
      </c>
      <c r="O107" t="s">
        <v>1630</v>
      </c>
      <c r="P107" t="s">
        <v>1630</v>
      </c>
    </row>
    <row r="108" spans="1:16" x14ac:dyDescent="0.2">
      <c r="A108" s="148"/>
      <c r="B108">
        <v>133</v>
      </c>
      <c r="C108" t="s">
        <v>1133</v>
      </c>
      <c r="D108" t="s">
        <v>1134</v>
      </c>
      <c r="E108" t="s">
        <v>1630</v>
      </c>
      <c r="F108" t="s">
        <v>1630</v>
      </c>
      <c r="G108" t="s">
        <v>1630</v>
      </c>
      <c r="H108" t="s">
        <v>1630</v>
      </c>
      <c r="I108" t="s">
        <v>1630</v>
      </c>
      <c r="J108" t="s">
        <v>1630</v>
      </c>
      <c r="K108" t="s">
        <v>1630</v>
      </c>
      <c r="L108" t="s">
        <v>1630</v>
      </c>
      <c r="M108" t="s">
        <v>59</v>
      </c>
      <c r="N108" t="s">
        <v>59</v>
      </c>
      <c r="O108" t="s">
        <v>1630</v>
      </c>
      <c r="P108" t="s">
        <v>1630</v>
      </c>
    </row>
    <row r="109" spans="1:16" x14ac:dyDescent="0.2">
      <c r="A109" s="148" t="s">
        <v>1145</v>
      </c>
      <c r="B109">
        <v>4</v>
      </c>
      <c r="C109" t="s">
        <v>1146</v>
      </c>
      <c r="D109" t="s">
        <v>1147</v>
      </c>
      <c r="E109" t="s">
        <v>59</v>
      </c>
      <c r="F109" t="s">
        <v>1630</v>
      </c>
      <c r="G109" t="s">
        <v>59</v>
      </c>
      <c r="H109" t="s">
        <v>59</v>
      </c>
      <c r="I109" t="s">
        <v>59</v>
      </c>
      <c r="J109" t="s">
        <v>59</v>
      </c>
      <c r="K109" t="s">
        <v>1630</v>
      </c>
      <c r="L109" t="s">
        <v>1630</v>
      </c>
      <c r="M109" t="s">
        <v>1630</v>
      </c>
      <c r="N109" t="s">
        <v>1630</v>
      </c>
      <c r="O109" t="s">
        <v>1630</v>
      </c>
      <c r="P109" t="s">
        <v>1630</v>
      </c>
    </row>
    <row r="110" spans="1:16" x14ac:dyDescent="0.2">
      <c r="A110" s="148"/>
      <c r="B110">
        <v>71</v>
      </c>
      <c r="C110" t="s">
        <v>1153</v>
      </c>
      <c r="D110" t="s">
        <v>1154</v>
      </c>
      <c r="E110" t="s">
        <v>59</v>
      </c>
      <c r="F110" t="s">
        <v>1630</v>
      </c>
      <c r="G110" t="s">
        <v>59</v>
      </c>
      <c r="H110" t="s">
        <v>59</v>
      </c>
      <c r="I110" t="s">
        <v>1630</v>
      </c>
      <c r="J110" t="s">
        <v>59</v>
      </c>
      <c r="K110" t="s">
        <v>1630</v>
      </c>
      <c r="L110" t="s">
        <v>59</v>
      </c>
      <c r="M110" t="s">
        <v>59</v>
      </c>
      <c r="N110" t="s">
        <v>1630</v>
      </c>
      <c r="O110" t="s">
        <v>59</v>
      </c>
      <c r="P110" t="s">
        <v>1630</v>
      </c>
    </row>
    <row r="111" spans="1:16" x14ac:dyDescent="0.2">
      <c r="A111" s="148"/>
      <c r="B111">
        <v>28</v>
      </c>
      <c r="C111" t="s">
        <v>1172</v>
      </c>
      <c r="D111" t="s">
        <v>1173</v>
      </c>
      <c r="E111" t="s">
        <v>59</v>
      </c>
      <c r="F111" t="s">
        <v>1630</v>
      </c>
      <c r="G111" t="s">
        <v>59</v>
      </c>
      <c r="H111" t="s">
        <v>59</v>
      </c>
      <c r="I111" t="s">
        <v>59</v>
      </c>
      <c r="J111" t="s">
        <v>59</v>
      </c>
      <c r="K111" t="s">
        <v>1630</v>
      </c>
      <c r="L111" t="s">
        <v>1630</v>
      </c>
      <c r="M111" t="s">
        <v>1630</v>
      </c>
      <c r="N111" t="s">
        <v>1630</v>
      </c>
      <c r="O111" t="s">
        <v>1630</v>
      </c>
      <c r="P111" t="s">
        <v>1630</v>
      </c>
    </row>
    <row r="112" spans="1:16" x14ac:dyDescent="0.2">
      <c r="A112" s="148"/>
      <c r="B112">
        <v>84</v>
      </c>
      <c r="C112" t="s">
        <v>1182</v>
      </c>
      <c r="D112" t="s">
        <v>1183</v>
      </c>
      <c r="E112" t="s">
        <v>59</v>
      </c>
      <c r="F112" t="s">
        <v>1630</v>
      </c>
      <c r="G112" t="s">
        <v>59</v>
      </c>
      <c r="H112" t="s">
        <v>59</v>
      </c>
      <c r="I112" t="s">
        <v>59</v>
      </c>
      <c r="J112" t="s">
        <v>59</v>
      </c>
      <c r="K112" t="s">
        <v>1630</v>
      </c>
      <c r="L112" t="s">
        <v>1630</v>
      </c>
      <c r="M112" t="s">
        <v>1630</v>
      </c>
      <c r="N112" t="s">
        <v>1630</v>
      </c>
      <c r="O112" t="s">
        <v>59</v>
      </c>
      <c r="P112" t="s">
        <v>59</v>
      </c>
    </row>
    <row r="113" spans="1:16" x14ac:dyDescent="0.2">
      <c r="A113" s="148"/>
      <c r="B113">
        <v>21</v>
      </c>
      <c r="C113" t="s">
        <v>1190</v>
      </c>
      <c r="D113" t="s">
        <v>1191</v>
      </c>
      <c r="E113" t="s">
        <v>1630</v>
      </c>
      <c r="F113" t="s">
        <v>1630</v>
      </c>
      <c r="G113" t="s">
        <v>59</v>
      </c>
      <c r="H113" t="s">
        <v>1630</v>
      </c>
      <c r="I113" t="s">
        <v>1630</v>
      </c>
      <c r="J113" t="s">
        <v>1630</v>
      </c>
      <c r="K113" t="s">
        <v>1630</v>
      </c>
      <c r="L113" t="s">
        <v>1630</v>
      </c>
      <c r="M113" t="s">
        <v>1630</v>
      </c>
      <c r="N113" t="s">
        <v>59</v>
      </c>
      <c r="O113" t="s">
        <v>59</v>
      </c>
      <c r="P113" t="s">
        <v>1630</v>
      </c>
    </row>
    <row r="114" spans="1:16" x14ac:dyDescent="0.2">
      <c r="A114" s="148"/>
      <c r="B114">
        <v>32</v>
      </c>
      <c r="C114" t="s">
        <v>1201</v>
      </c>
      <c r="D114" t="s">
        <v>1202</v>
      </c>
      <c r="E114" t="s">
        <v>1630</v>
      </c>
      <c r="F114" t="s">
        <v>1630</v>
      </c>
      <c r="G114" t="s">
        <v>59</v>
      </c>
      <c r="H114" t="s">
        <v>59</v>
      </c>
      <c r="I114" t="s">
        <v>1630</v>
      </c>
      <c r="J114" t="s">
        <v>59</v>
      </c>
      <c r="K114" t="s">
        <v>1630</v>
      </c>
      <c r="L114" t="s">
        <v>1630</v>
      </c>
      <c r="M114" t="s">
        <v>1630</v>
      </c>
      <c r="N114" t="s">
        <v>59</v>
      </c>
      <c r="O114" t="s">
        <v>1630</v>
      </c>
      <c r="P114" t="s">
        <v>59</v>
      </c>
    </row>
    <row r="115" spans="1:16" x14ac:dyDescent="0.2">
      <c r="A115" s="148"/>
      <c r="B115">
        <v>20</v>
      </c>
      <c r="C115" t="s">
        <v>1212</v>
      </c>
      <c r="D115" t="s">
        <v>1213</v>
      </c>
      <c r="E115" t="s">
        <v>59</v>
      </c>
      <c r="F115" t="s">
        <v>1630</v>
      </c>
      <c r="G115" t="s">
        <v>59</v>
      </c>
      <c r="H115" t="s">
        <v>59</v>
      </c>
      <c r="I115" t="s">
        <v>1630</v>
      </c>
      <c r="J115" t="s">
        <v>59</v>
      </c>
      <c r="K115" t="s">
        <v>1630</v>
      </c>
      <c r="L115" t="s">
        <v>1630</v>
      </c>
      <c r="M115" t="s">
        <v>59</v>
      </c>
      <c r="N115" t="s">
        <v>1630</v>
      </c>
      <c r="O115" t="s">
        <v>59</v>
      </c>
      <c r="P115" t="s">
        <v>1630</v>
      </c>
    </row>
    <row r="116" spans="1:16" x14ac:dyDescent="0.2">
      <c r="A116" s="148"/>
      <c r="B116">
        <v>90</v>
      </c>
      <c r="C116" t="s">
        <v>1219</v>
      </c>
      <c r="D116" t="s">
        <v>1220</v>
      </c>
      <c r="E116" t="s">
        <v>59</v>
      </c>
      <c r="F116" t="s">
        <v>1630</v>
      </c>
      <c r="G116" t="s">
        <v>1630</v>
      </c>
      <c r="H116" t="s">
        <v>59</v>
      </c>
      <c r="I116" t="s">
        <v>59</v>
      </c>
      <c r="J116" t="s">
        <v>59</v>
      </c>
      <c r="K116" t="s">
        <v>1630</v>
      </c>
      <c r="L116" t="s">
        <v>1630</v>
      </c>
      <c r="M116" t="s">
        <v>1630</v>
      </c>
      <c r="N116" t="s">
        <v>1630</v>
      </c>
      <c r="O116" t="s">
        <v>59</v>
      </c>
      <c r="P116" t="s">
        <v>1630</v>
      </c>
    </row>
    <row r="117" spans="1:16" x14ac:dyDescent="0.2">
      <c r="A117" s="148"/>
      <c r="B117">
        <v>118</v>
      </c>
      <c r="C117" t="s">
        <v>1224</v>
      </c>
      <c r="D117" t="s">
        <v>1225</v>
      </c>
      <c r="E117" t="s">
        <v>59</v>
      </c>
      <c r="F117" t="s">
        <v>59</v>
      </c>
      <c r="G117" t="s">
        <v>59</v>
      </c>
      <c r="H117" t="s">
        <v>1630</v>
      </c>
      <c r="I117" t="s">
        <v>1630</v>
      </c>
      <c r="J117" t="s">
        <v>1630</v>
      </c>
      <c r="K117" t="s">
        <v>1630</v>
      </c>
      <c r="L117" t="s">
        <v>59</v>
      </c>
      <c r="M117" t="s">
        <v>59</v>
      </c>
      <c r="N117" t="s">
        <v>59</v>
      </c>
      <c r="O117" t="s">
        <v>59</v>
      </c>
      <c r="P117" t="s">
        <v>1630</v>
      </c>
    </row>
    <row r="118" spans="1:16" x14ac:dyDescent="0.2">
      <c r="A118" s="148"/>
      <c r="B118">
        <v>153</v>
      </c>
      <c r="C118" t="s">
        <v>1232</v>
      </c>
      <c r="D118" t="s">
        <v>1233</v>
      </c>
      <c r="E118" t="s">
        <v>59</v>
      </c>
      <c r="F118" t="s">
        <v>59</v>
      </c>
      <c r="G118" t="s">
        <v>59</v>
      </c>
      <c r="H118" t="s">
        <v>59</v>
      </c>
      <c r="I118" t="s">
        <v>59</v>
      </c>
      <c r="J118" t="s">
        <v>59</v>
      </c>
      <c r="K118" t="s">
        <v>1630</v>
      </c>
      <c r="L118" t="s">
        <v>1630</v>
      </c>
      <c r="M118" t="s">
        <v>59</v>
      </c>
      <c r="N118" t="s">
        <v>1630</v>
      </c>
      <c r="O118" t="s">
        <v>59</v>
      </c>
      <c r="P118" t="s">
        <v>1630</v>
      </c>
    </row>
    <row r="119" spans="1:16" x14ac:dyDescent="0.2">
      <c r="A119" s="148"/>
      <c r="B119">
        <v>147</v>
      </c>
      <c r="C119" t="s">
        <v>1244</v>
      </c>
      <c r="D119" t="s">
        <v>1245</v>
      </c>
      <c r="E119" t="s">
        <v>59</v>
      </c>
      <c r="F119" t="s">
        <v>1630</v>
      </c>
      <c r="G119" t="s">
        <v>59</v>
      </c>
      <c r="H119" t="s">
        <v>59</v>
      </c>
      <c r="I119" t="s">
        <v>59</v>
      </c>
      <c r="J119" t="s">
        <v>1630</v>
      </c>
      <c r="K119" t="s">
        <v>1630</v>
      </c>
      <c r="L119" t="s">
        <v>1630</v>
      </c>
      <c r="M119" t="s">
        <v>1630</v>
      </c>
      <c r="N119" t="s">
        <v>1630</v>
      </c>
      <c r="O119" t="s">
        <v>1630</v>
      </c>
      <c r="P119" t="s">
        <v>1630</v>
      </c>
    </row>
    <row r="120" spans="1:16" x14ac:dyDescent="0.2">
      <c r="A120" s="148"/>
      <c r="B120">
        <v>38</v>
      </c>
      <c r="C120" t="s">
        <v>1253</v>
      </c>
      <c r="D120" t="s">
        <v>1254</v>
      </c>
      <c r="E120" t="s">
        <v>59</v>
      </c>
      <c r="F120" t="s">
        <v>1630</v>
      </c>
      <c r="G120" t="s">
        <v>59</v>
      </c>
      <c r="H120" t="s">
        <v>59</v>
      </c>
      <c r="I120" t="s">
        <v>1630</v>
      </c>
      <c r="J120" t="s">
        <v>59</v>
      </c>
      <c r="K120" t="s">
        <v>1630</v>
      </c>
      <c r="L120" t="s">
        <v>1630</v>
      </c>
      <c r="M120" t="s">
        <v>1630</v>
      </c>
      <c r="N120" t="s">
        <v>59</v>
      </c>
      <c r="O120" t="s">
        <v>1630</v>
      </c>
      <c r="P120" t="s">
        <v>1630</v>
      </c>
    </row>
    <row r="121" spans="1:16" x14ac:dyDescent="0.2">
      <c r="A121" s="148"/>
      <c r="B121">
        <v>127</v>
      </c>
      <c r="C121" t="s">
        <v>1259</v>
      </c>
      <c r="D121" t="s">
        <v>1260</v>
      </c>
      <c r="E121" t="s">
        <v>59</v>
      </c>
      <c r="F121" t="s">
        <v>1630</v>
      </c>
      <c r="G121" t="s">
        <v>59</v>
      </c>
      <c r="H121" t="s">
        <v>59</v>
      </c>
      <c r="I121" t="s">
        <v>59</v>
      </c>
      <c r="J121" t="s">
        <v>59</v>
      </c>
      <c r="K121" t="s">
        <v>1630</v>
      </c>
      <c r="L121" t="s">
        <v>1630</v>
      </c>
      <c r="M121" t="s">
        <v>59</v>
      </c>
      <c r="N121" t="s">
        <v>1630</v>
      </c>
      <c r="O121" t="s">
        <v>59</v>
      </c>
      <c r="P121" t="s">
        <v>1630</v>
      </c>
    </row>
    <row r="122" spans="1:16" x14ac:dyDescent="0.2">
      <c r="A122" s="148" t="s">
        <v>1271</v>
      </c>
      <c r="B122">
        <v>23</v>
      </c>
      <c r="C122" t="s">
        <v>1272</v>
      </c>
      <c r="D122" t="s">
        <v>1273</v>
      </c>
      <c r="E122" t="s">
        <v>1630</v>
      </c>
      <c r="F122" t="s">
        <v>1630</v>
      </c>
      <c r="G122" t="s">
        <v>1630</v>
      </c>
      <c r="H122" t="s">
        <v>1630</v>
      </c>
      <c r="I122" t="s">
        <v>1630</v>
      </c>
      <c r="J122" t="s">
        <v>1630</v>
      </c>
      <c r="K122" t="s">
        <v>1630</v>
      </c>
      <c r="L122" t="s">
        <v>1630</v>
      </c>
      <c r="M122" t="s">
        <v>1630</v>
      </c>
      <c r="N122" t="s">
        <v>59</v>
      </c>
      <c r="O122" t="s">
        <v>1630</v>
      </c>
      <c r="P122" t="s">
        <v>1630</v>
      </c>
    </row>
    <row r="123" spans="1:16" x14ac:dyDescent="0.2">
      <c r="A123" s="148"/>
      <c r="B123">
        <v>144</v>
      </c>
      <c r="C123" t="s">
        <v>1284</v>
      </c>
      <c r="D123" t="s">
        <v>1285</v>
      </c>
      <c r="E123" t="s">
        <v>1630</v>
      </c>
      <c r="F123" t="s">
        <v>1630</v>
      </c>
      <c r="G123" t="s">
        <v>59</v>
      </c>
      <c r="H123" t="s">
        <v>1630</v>
      </c>
      <c r="I123" t="s">
        <v>59</v>
      </c>
      <c r="J123" t="s">
        <v>59</v>
      </c>
      <c r="K123" t="s">
        <v>1630</v>
      </c>
      <c r="L123" t="s">
        <v>59</v>
      </c>
      <c r="M123" t="s">
        <v>59</v>
      </c>
      <c r="N123" t="s">
        <v>59</v>
      </c>
      <c r="O123" t="s">
        <v>59</v>
      </c>
      <c r="P123" t="s">
        <v>1630</v>
      </c>
    </row>
    <row r="124" spans="1:16" x14ac:dyDescent="0.2">
      <c r="A124" s="148"/>
      <c r="B124">
        <v>6</v>
      </c>
      <c r="C124" t="s">
        <v>1295</v>
      </c>
      <c r="D124" t="s">
        <v>1296</v>
      </c>
      <c r="E124" t="s">
        <v>1630</v>
      </c>
      <c r="F124" t="s">
        <v>1630</v>
      </c>
      <c r="G124" t="s">
        <v>59</v>
      </c>
      <c r="H124" t="s">
        <v>59</v>
      </c>
      <c r="I124" t="s">
        <v>1630</v>
      </c>
      <c r="J124" t="s">
        <v>59</v>
      </c>
      <c r="K124" t="s">
        <v>1630</v>
      </c>
      <c r="L124" t="s">
        <v>1630</v>
      </c>
      <c r="M124" t="s">
        <v>59</v>
      </c>
      <c r="N124" t="s">
        <v>59</v>
      </c>
      <c r="O124" t="s">
        <v>1630</v>
      </c>
      <c r="P124" t="s">
        <v>1630</v>
      </c>
    </row>
    <row r="125" spans="1:16" x14ac:dyDescent="0.2">
      <c r="A125" s="148"/>
      <c r="B125">
        <v>44</v>
      </c>
      <c r="C125" t="s">
        <v>1306</v>
      </c>
      <c r="D125" t="s">
        <v>1307</v>
      </c>
      <c r="E125" t="s">
        <v>59</v>
      </c>
      <c r="F125" t="s">
        <v>1630</v>
      </c>
      <c r="G125" t="s">
        <v>59</v>
      </c>
      <c r="H125" t="s">
        <v>59</v>
      </c>
      <c r="I125" t="s">
        <v>1630</v>
      </c>
      <c r="J125" t="s">
        <v>1630</v>
      </c>
      <c r="K125" t="s">
        <v>1630</v>
      </c>
      <c r="L125" t="s">
        <v>1630</v>
      </c>
      <c r="M125" t="s">
        <v>1630</v>
      </c>
      <c r="N125" t="s">
        <v>1630</v>
      </c>
      <c r="O125" t="s">
        <v>1630</v>
      </c>
      <c r="P125" t="s">
        <v>1630</v>
      </c>
    </row>
    <row r="126" spans="1:16" x14ac:dyDescent="0.2">
      <c r="A126" s="148"/>
      <c r="B126">
        <v>119</v>
      </c>
      <c r="C126" t="s">
        <v>1315</v>
      </c>
      <c r="D126" t="s">
        <v>974</v>
      </c>
      <c r="E126" t="s">
        <v>1630</v>
      </c>
      <c r="F126" t="s">
        <v>1630</v>
      </c>
      <c r="G126" t="s">
        <v>1630</v>
      </c>
      <c r="H126" t="s">
        <v>59</v>
      </c>
      <c r="I126" t="s">
        <v>1630</v>
      </c>
      <c r="J126" t="s">
        <v>59</v>
      </c>
      <c r="K126" t="s">
        <v>1630</v>
      </c>
      <c r="L126" t="s">
        <v>1630</v>
      </c>
      <c r="M126" t="s">
        <v>59</v>
      </c>
      <c r="N126" t="s">
        <v>59</v>
      </c>
      <c r="O126" t="s">
        <v>59</v>
      </c>
      <c r="P126" t="s">
        <v>1630</v>
      </c>
    </row>
    <row r="127" spans="1:16" x14ac:dyDescent="0.2">
      <c r="A127" s="148"/>
      <c r="B127">
        <v>11</v>
      </c>
      <c r="C127" t="s">
        <v>1325</v>
      </c>
      <c r="D127" t="s">
        <v>1326</v>
      </c>
      <c r="E127" t="s">
        <v>59</v>
      </c>
      <c r="F127" t="s">
        <v>1630</v>
      </c>
      <c r="G127" t="s">
        <v>1630</v>
      </c>
      <c r="H127" t="s">
        <v>59</v>
      </c>
      <c r="I127" t="s">
        <v>59</v>
      </c>
      <c r="J127" t="s">
        <v>59</v>
      </c>
      <c r="K127" t="s">
        <v>1630</v>
      </c>
      <c r="L127" t="s">
        <v>1630</v>
      </c>
      <c r="M127" t="s">
        <v>59</v>
      </c>
      <c r="N127" t="s">
        <v>1630</v>
      </c>
      <c r="O127" t="s">
        <v>1630</v>
      </c>
      <c r="P127" t="s">
        <v>1630</v>
      </c>
    </row>
    <row r="128" spans="1:16" x14ac:dyDescent="0.2">
      <c r="A128" s="148"/>
      <c r="B128">
        <v>27</v>
      </c>
      <c r="C128" t="s">
        <v>1337</v>
      </c>
      <c r="D128" t="s">
        <v>1326</v>
      </c>
      <c r="E128" t="s">
        <v>59</v>
      </c>
      <c r="F128" t="s">
        <v>59</v>
      </c>
      <c r="G128" t="s">
        <v>1630</v>
      </c>
      <c r="H128" t="s">
        <v>59</v>
      </c>
      <c r="I128" t="s">
        <v>59</v>
      </c>
      <c r="J128" t="s">
        <v>59</v>
      </c>
      <c r="K128" t="s">
        <v>59</v>
      </c>
      <c r="L128" t="s">
        <v>1630</v>
      </c>
      <c r="M128" t="s">
        <v>59</v>
      </c>
      <c r="N128" t="s">
        <v>1630</v>
      </c>
      <c r="O128" t="s">
        <v>1630</v>
      </c>
      <c r="P128" t="s">
        <v>1630</v>
      </c>
    </row>
    <row r="129" spans="1:16" x14ac:dyDescent="0.2">
      <c r="A129" s="148"/>
      <c r="B129">
        <v>9</v>
      </c>
      <c r="C129" t="s">
        <v>1345</v>
      </c>
      <c r="D129" t="s">
        <v>1326</v>
      </c>
      <c r="E129" t="s">
        <v>59</v>
      </c>
      <c r="F129" t="s">
        <v>1630</v>
      </c>
      <c r="G129" t="s">
        <v>1630</v>
      </c>
      <c r="H129" t="s">
        <v>59</v>
      </c>
      <c r="I129" t="s">
        <v>59</v>
      </c>
      <c r="J129" t="s">
        <v>59</v>
      </c>
      <c r="K129" t="s">
        <v>1630</v>
      </c>
      <c r="L129" t="s">
        <v>1630</v>
      </c>
      <c r="M129" t="s">
        <v>59</v>
      </c>
      <c r="N129" t="s">
        <v>1630</v>
      </c>
      <c r="O129" t="s">
        <v>1630</v>
      </c>
      <c r="P129" t="s">
        <v>1630</v>
      </c>
    </row>
    <row r="130" spans="1:16" x14ac:dyDescent="0.2">
      <c r="A130" s="148"/>
      <c r="B130">
        <v>8</v>
      </c>
      <c r="C130" t="s">
        <v>1348</v>
      </c>
      <c r="D130" t="s">
        <v>1349</v>
      </c>
      <c r="E130" t="s">
        <v>1630</v>
      </c>
      <c r="F130" t="s">
        <v>1630</v>
      </c>
      <c r="G130" t="s">
        <v>59</v>
      </c>
      <c r="H130" t="s">
        <v>1630</v>
      </c>
      <c r="I130" t="s">
        <v>1630</v>
      </c>
      <c r="J130" t="s">
        <v>59</v>
      </c>
      <c r="K130" t="s">
        <v>1630</v>
      </c>
      <c r="L130" t="s">
        <v>1630</v>
      </c>
      <c r="M130" t="s">
        <v>1630</v>
      </c>
      <c r="N130" t="s">
        <v>59</v>
      </c>
      <c r="O130" t="s">
        <v>1630</v>
      </c>
      <c r="P130" t="s">
        <v>1630</v>
      </c>
    </row>
    <row r="131" spans="1:16" x14ac:dyDescent="0.2">
      <c r="A131" s="148"/>
      <c r="B131">
        <v>86</v>
      </c>
      <c r="C131" t="s">
        <v>1362</v>
      </c>
      <c r="D131" t="s">
        <v>1363</v>
      </c>
      <c r="E131" t="s">
        <v>59</v>
      </c>
      <c r="F131" t="s">
        <v>1630</v>
      </c>
      <c r="G131" t="s">
        <v>1630</v>
      </c>
      <c r="H131" t="s">
        <v>59</v>
      </c>
      <c r="I131" t="s">
        <v>59</v>
      </c>
      <c r="J131" t="s">
        <v>59</v>
      </c>
      <c r="K131" t="s">
        <v>1630</v>
      </c>
      <c r="L131" t="s">
        <v>1630</v>
      </c>
      <c r="M131" t="s">
        <v>59</v>
      </c>
      <c r="N131" t="s">
        <v>1630</v>
      </c>
      <c r="O131" t="s">
        <v>1630</v>
      </c>
      <c r="P131" t="s">
        <v>59</v>
      </c>
    </row>
    <row r="132" spans="1:16" x14ac:dyDescent="0.2">
      <c r="A132" s="148"/>
      <c r="B132">
        <v>19</v>
      </c>
      <c r="C132" t="s">
        <v>1638</v>
      </c>
      <c r="D132" t="s">
        <v>1370</v>
      </c>
      <c r="E132" t="s">
        <v>59</v>
      </c>
      <c r="F132" t="s">
        <v>59</v>
      </c>
      <c r="G132" t="s">
        <v>59</v>
      </c>
      <c r="H132" t="s">
        <v>59</v>
      </c>
      <c r="I132" t="s">
        <v>59</v>
      </c>
      <c r="J132" t="s">
        <v>59</v>
      </c>
      <c r="K132" t="s">
        <v>59</v>
      </c>
      <c r="L132" t="s">
        <v>1630</v>
      </c>
      <c r="M132" t="s">
        <v>59</v>
      </c>
      <c r="N132" t="s">
        <v>59</v>
      </c>
      <c r="O132" t="s">
        <v>59</v>
      </c>
      <c r="P132" t="s">
        <v>59</v>
      </c>
    </row>
    <row r="133" spans="1:16" x14ac:dyDescent="0.2">
      <c r="A133" s="148"/>
      <c r="B133">
        <v>111</v>
      </c>
      <c r="C133" t="s">
        <v>1376</v>
      </c>
      <c r="D133" t="s">
        <v>1377</v>
      </c>
      <c r="E133" t="s">
        <v>59</v>
      </c>
      <c r="F133" t="s">
        <v>1630</v>
      </c>
      <c r="G133" t="s">
        <v>59</v>
      </c>
      <c r="H133" t="s">
        <v>1630</v>
      </c>
      <c r="I133" t="s">
        <v>59</v>
      </c>
      <c r="J133" t="s">
        <v>1630</v>
      </c>
      <c r="K133" t="s">
        <v>1630</v>
      </c>
      <c r="L133" t="s">
        <v>1630</v>
      </c>
      <c r="M133" t="s">
        <v>1630</v>
      </c>
      <c r="N133" t="s">
        <v>1630</v>
      </c>
      <c r="O133" t="s">
        <v>1630</v>
      </c>
      <c r="P133" t="s">
        <v>1630</v>
      </c>
    </row>
    <row r="134" spans="1:16" x14ac:dyDescent="0.2">
      <c r="A134" s="148"/>
      <c r="B134">
        <v>53</v>
      </c>
      <c r="C134" t="s">
        <v>1383</v>
      </c>
      <c r="D134" t="s">
        <v>1384</v>
      </c>
      <c r="E134" t="s">
        <v>1630</v>
      </c>
      <c r="F134" t="s">
        <v>1630</v>
      </c>
      <c r="G134" t="s">
        <v>1630</v>
      </c>
      <c r="H134" t="s">
        <v>59</v>
      </c>
      <c r="I134" t="s">
        <v>1630</v>
      </c>
      <c r="J134" t="s">
        <v>1630</v>
      </c>
      <c r="K134" t="s">
        <v>1630</v>
      </c>
      <c r="L134" t="s">
        <v>1630</v>
      </c>
      <c r="M134" t="s">
        <v>1630</v>
      </c>
      <c r="N134" t="s">
        <v>59</v>
      </c>
      <c r="O134" t="s">
        <v>1630</v>
      </c>
      <c r="P134" t="s">
        <v>1630</v>
      </c>
    </row>
    <row r="135" spans="1:16" x14ac:dyDescent="0.2">
      <c r="A135" s="148"/>
      <c r="B135">
        <v>36</v>
      </c>
      <c r="C135" t="s">
        <v>1394</v>
      </c>
      <c r="D135" t="s">
        <v>1395</v>
      </c>
      <c r="E135" t="s">
        <v>59</v>
      </c>
      <c r="F135" t="s">
        <v>1630</v>
      </c>
      <c r="G135" t="s">
        <v>59</v>
      </c>
      <c r="H135" t="s">
        <v>59</v>
      </c>
      <c r="I135" t="s">
        <v>59</v>
      </c>
      <c r="J135" t="s">
        <v>59</v>
      </c>
      <c r="K135" t="s">
        <v>59</v>
      </c>
      <c r="L135" t="s">
        <v>1630</v>
      </c>
      <c r="M135" t="s">
        <v>1630</v>
      </c>
      <c r="N135" t="s">
        <v>1630</v>
      </c>
      <c r="O135" t="s">
        <v>59</v>
      </c>
      <c r="P135" t="s">
        <v>1630</v>
      </c>
    </row>
    <row r="136" spans="1:16" x14ac:dyDescent="0.2">
      <c r="A136" s="148"/>
      <c r="B136">
        <v>50</v>
      </c>
      <c r="C136" t="s">
        <v>1400</v>
      </c>
      <c r="D136" t="s">
        <v>1401</v>
      </c>
      <c r="E136" t="s">
        <v>59</v>
      </c>
      <c r="F136" t="s">
        <v>1630</v>
      </c>
      <c r="G136" t="s">
        <v>59</v>
      </c>
      <c r="H136" t="s">
        <v>59</v>
      </c>
      <c r="I136" t="s">
        <v>1630</v>
      </c>
      <c r="J136" t="s">
        <v>1630</v>
      </c>
      <c r="K136" t="s">
        <v>1630</v>
      </c>
      <c r="L136" t="s">
        <v>1630</v>
      </c>
      <c r="M136" t="s">
        <v>1630</v>
      </c>
      <c r="N136" t="s">
        <v>1630</v>
      </c>
      <c r="O136" t="s">
        <v>1630</v>
      </c>
      <c r="P136" t="s">
        <v>1630</v>
      </c>
    </row>
    <row r="137" spans="1:16" x14ac:dyDescent="0.2">
      <c r="A137" s="148"/>
      <c r="B137">
        <v>52</v>
      </c>
      <c r="C137" t="s">
        <v>1408</v>
      </c>
      <c r="D137" t="s">
        <v>1409</v>
      </c>
      <c r="E137" t="s">
        <v>59</v>
      </c>
      <c r="F137" t="s">
        <v>1630</v>
      </c>
      <c r="G137" t="s">
        <v>59</v>
      </c>
      <c r="H137" t="s">
        <v>1630</v>
      </c>
      <c r="I137" t="s">
        <v>59</v>
      </c>
      <c r="J137" t="s">
        <v>59</v>
      </c>
      <c r="K137" t="s">
        <v>1630</v>
      </c>
      <c r="L137" t="s">
        <v>1630</v>
      </c>
      <c r="M137" t="s">
        <v>59</v>
      </c>
      <c r="N137" t="s">
        <v>1630</v>
      </c>
      <c r="O137" t="s">
        <v>59</v>
      </c>
      <c r="P137" t="s">
        <v>1630</v>
      </c>
    </row>
    <row r="138" spans="1:16" x14ac:dyDescent="0.2">
      <c r="A138" s="148"/>
      <c r="B138">
        <v>64</v>
      </c>
      <c r="C138" t="s">
        <v>1416</v>
      </c>
      <c r="D138" t="s">
        <v>1417</v>
      </c>
      <c r="E138" t="s">
        <v>1630</v>
      </c>
      <c r="F138" t="s">
        <v>1630</v>
      </c>
      <c r="G138" t="s">
        <v>59</v>
      </c>
      <c r="H138" t="s">
        <v>59</v>
      </c>
      <c r="I138" t="s">
        <v>59</v>
      </c>
      <c r="J138" t="s">
        <v>1630</v>
      </c>
      <c r="K138" t="s">
        <v>1630</v>
      </c>
      <c r="L138" t="s">
        <v>1630</v>
      </c>
      <c r="M138" t="s">
        <v>1630</v>
      </c>
      <c r="N138" t="s">
        <v>59</v>
      </c>
      <c r="O138" t="s">
        <v>59</v>
      </c>
      <c r="P138" t="s">
        <v>1630</v>
      </c>
    </row>
    <row r="139" spans="1:16" x14ac:dyDescent="0.2">
      <c r="A139" s="148"/>
      <c r="B139">
        <v>3</v>
      </c>
      <c r="C139" t="s">
        <v>1426</v>
      </c>
      <c r="D139" t="s">
        <v>1427</v>
      </c>
      <c r="E139" t="s">
        <v>1630</v>
      </c>
      <c r="F139" t="s">
        <v>1630</v>
      </c>
      <c r="G139" t="s">
        <v>59</v>
      </c>
      <c r="H139" t="s">
        <v>59</v>
      </c>
      <c r="I139" t="s">
        <v>59</v>
      </c>
      <c r="J139" t="s">
        <v>1630</v>
      </c>
      <c r="K139" t="s">
        <v>1630</v>
      </c>
      <c r="L139" t="s">
        <v>1630</v>
      </c>
      <c r="M139" t="s">
        <v>1630</v>
      </c>
      <c r="N139" t="s">
        <v>1630</v>
      </c>
      <c r="O139" t="s">
        <v>59</v>
      </c>
      <c r="P139" t="s">
        <v>1630</v>
      </c>
    </row>
    <row r="140" spans="1:16" x14ac:dyDescent="0.2">
      <c r="A140" s="148"/>
      <c r="B140">
        <v>30</v>
      </c>
      <c r="C140" t="s">
        <v>1438</v>
      </c>
      <c r="D140" t="s">
        <v>1439</v>
      </c>
      <c r="E140" t="s">
        <v>1630</v>
      </c>
      <c r="F140" t="s">
        <v>1630</v>
      </c>
      <c r="G140" t="s">
        <v>1630</v>
      </c>
      <c r="H140" t="s">
        <v>59</v>
      </c>
      <c r="I140" t="s">
        <v>59</v>
      </c>
      <c r="J140" t="s">
        <v>1630</v>
      </c>
      <c r="K140" t="s">
        <v>1630</v>
      </c>
      <c r="L140" t="s">
        <v>1630</v>
      </c>
      <c r="M140" t="s">
        <v>1630</v>
      </c>
      <c r="N140" t="s">
        <v>59</v>
      </c>
      <c r="O140" t="s">
        <v>59</v>
      </c>
      <c r="P140" t="s">
        <v>1630</v>
      </c>
    </row>
    <row r="141" spans="1:16" x14ac:dyDescent="0.2">
      <c r="A141" s="148" t="s">
        <v>1448</v>
      </c>
      <c r="B141">
        <v>134</v>
      </c>
      <c r="C141" t="s">
        <v>1449</v>
      </c>
      <c r="D141" t="s">
        <v>1450</v>
      </c>
      <c r="E141" t="s">
        <v>1630</v>
      </c>
      <c r="F141" t="s">
        <v>1630</v>
      </c>
      <c r="G141" t="s">
        <v>1630</v>
      </c>
      <c r="H141" t="s">
        <v>1630</v>
      </c>
      <c r="I141" t="s">
        <v>59</v>
      </c>
      <c r="J141" t="s">
        <v>1630</v>
      </c>
      <c r="K141" t="s">
        <v>1630</v>
      </c>
      <c r="L141" t="s">
        <v>1630</v>
      </c>
      <c r="M141" t="s">
        <v>1630</v>
      </c>
      <c r="N141" t="s">
        <v>59</v>
      </c>
      <c r="O141" t="s">
        <v>1630</v>
      </c>
      <c r="P141" t="s">
        <v>1630</v>
      </c>
    </row>
    <row r="142" spans="1:16" x14ac:dyDescent="0.2">
      <c r="A142" s="148"/>
      <c r="B142">
        <v>138</v>
      </c>
      <c r="C142" t="s">
        <v>1458</v>
      </c>
      <c r="D142" t="s">
        <v>1450</v>
      </c>
      <c r="E142" t="s">
        <v>1630</v>
      </c>
      <c r="F142" t="s">
        <v>1630</v>
      </c>
      <c r="G142" t="s">
        <v>1630</v>
      </c>
      <c r="H142" t="s">
        <v>1630</v>
      </c>
      <c r="I142" t="s">
        <v>1630</v>
      </c>
      <c r="J142" t="s">
        <v>1630</v>
      </c>
      <c r="K142" t="s">
        <v>1630</v>
      </c>
      <c r="L142" t="s">
        <v>1630</v>
      </c>
      <c r="M142" t="s">
        <v>1630</v>
      </c>
      <c r="N142" t="s">
        <v>59</v>
      </c>
      <c r="O142" t="s">
        <v>59</v>
      </c>
      <c r="P142" t="s">
        <v>59</v>
      </c>
    </row>
    <row r="143" spans="1:16" x14ac:dyDescent="0.2">
      <c r="A143" s="148"/>
      <c r="B143">
        <v>12</v>
      </c>
      <c r="C143" t="s">
        <v>1468</v>
      </c>
      <c r="D143" t="s">
        <v>1469</v>
      </c>
      <c r="E143" t="s">
        <v>1630</v>
      </c>
      <c r="F143" t="s">
        <v>1630</v>
      </c>
      <c r="G143" t="s">
        <v>59</v>
      </c>
      <c r="H143" t="s">
        <v>1630</v>
      </c>
      <c r="I143" t="s">
        <v>59</v>
      </c>
      <c r="J143" t="s">
        <v>1630</v>
      </c>
      <c r="K143" t="s">
        <v>1630</v>
      </c>
      <c r="L143" t="s">
        <v>1630</v>
      </c>
      <c r="M143" t="s">
        <v>1630</v>
      </c>
      <c r="N143" t="s">
        <v>1630</v>
      </c>
      <c r="O143" t="s">
        <v>1630</v>
      </c>
      <c r="P143" t="s">
        <v>1630</v>
      </c>
    </row>
    <row r="144" spans="1:16" x14ac:dyDescent="0.2">
      <c r="A144" s="148"/>
      <c r="B144">
        <v>1</v>
      </c>
      <c r="C144" t="s">
        <v>1477</v>
      </c>
      <c r="D144" t="s">
        <v>1478</v>
      </c>
      <c r="E144" t="s">
        <v>1630</v>
      </c>
      <c r="F144" t="s">
        <v>1630</v>
      </c>
      <c r="G144" t="s">
        <v>1630</v>
      </c>
      <c r="H144" t="s">
        <v>1630</v>
      </c>
      <c r="I144" t="s">
        <v>1630</v>
      </c>
      <c r="J144" t="s">
        <v>1630</v>
      </c>
      <c r="K144" t="s">
        <v>1630</v>
      </c>
      <c r="L144" t="s">
        <v>1630</v>
      </c>
      <c r="M144" t="s">
        <v>1630</v>
      </c>
      <c r="N144" t="s">
        <v>1630</v>
      </c>
      <c r="O144" t="s">
        <v>1630</v>
      </c>
      <c r="P144" t="s">
        <v>1630</v>
      </c>
    </row>
    <row r="145" spans="1:16" x14ac:dyDescent="0.2">
      <c r="A145" s="148"/>
      <c r="B145">
        <v>33</v>
      </c>
      <c r="C145" t="s">
        <v>1488</v>
      </c>
      <c r="D145" t="s">
        <v>1489</v>
      </c>
      <c r="E145" t="s">
        <v>59</v>
      </c>
      <c r="F145" t="s">
        <v>1630</v>
      </c>
      <c r="G145" t="s">
        <v>59</v>
      </c>
      <c r="H145" t="s">
        <v>59</v>
      </c>
      <c r="I145" t="s">
        <v>1630</v>
      </c>
      <c r="J145" t="s">
        <v>59</v>
      </c>
      <c r="K145" t="s">
        <v>1630</v>
      </c>
      <c r="L145" t="s">
        <v>1630</v>
      </c>
      <c r="M145" t="s">
        <v>59</v>
      </c>
      <c r="N145" t="s">
        <v>1630</v>
      </c>
      <c r="O145" t="s">
        <v>1630</v>
      </c>
      <c r="P145" t="s">
        <v>1630</v>
      </c>
    </row>
    <row r="146" spans="1:16" x14ac:dyDescent="0.2">
      <c r="A146" s="148"/>
      <c r="B146">
        <v>82</v>
      </c>
      <c r="C146" t="s">
        <v>1494</v>
      </c>
      <c r="D146" t="s">
        <v>1495</v>
      </c>
      <c r="E146" t="s">
        <v>1630</v>
      </c>
      <c r="F146" t="s">
        <v>1630</v>
      </c>
      <c r="G146" t="s">
        <v>59</v>
      </c>
      <c r="H146" t="s">
        <v>59</v>
      </c>
      <c r="I146" t="s">
        <v>1630</v>
      </c>
      <c r="J146" t="s">
        <v>1630</v>
      </c>
      <c r="K146" t="s">
        <v>1630</v>
      </c>
      <c r="L146" t="s">
        <v>1630</v>
      </c>
      <c r="M146" t="s">
        <v>1630</v>
      </c>
      <c r="N146" t="s">
        <v>59</v>
      </c>
      <c r="O146" t="s">
        <v>1630</v>
      </c>
      <c r="P146" t="s">
        <v>1630</v>
      </c>
    </row>
    <row r="147" spans="1:16" x14ac:dyDescent="0.2">
      <c r="A147" s="148"/>
      <c r="B147">
        <v>75</v>
      </c>
      <c r="C147" t="s">
        <v>1507</v>
      </c>
      <c r="D147" t="s">
        <v>1508</v>
      </c>
      <c r="E147" t="s">
        <v>1630</v>
      </c>
      <c r="F147" t="s">
        <v>1630</v>
      </c>
      <c r="G147" t="s">
        <v>1630</v>
      </c>
      <c r="H147" t="s">
        <v>59</v>
      </c>
      <c r="I147" t="s">
        <v>1630</v>
      </c>
      <c r="J147" t="s">
        <v>1630</v>
      </c>
      <c r="K147" t="s">
        <v>1630</v>
      </c>
      <c r="L147" t="s">
        <v>1630</v>
      </c>
      <c r="M147" t="s">
        <v>59</v>
      </c>
      <c r="N147" t="s">
        <v>59</v>
      </c>
      <c r="O147" t="s">
        <v>1630</v>
      </c>
      <c r="P147" t="s">
        <v>1630</v>
      </c>
    </row>
    <row r="148" spans="1:16" x14ac:dyDescent="0.2">
      <c r="A148" s="148"/>
      <c r="B148">
        <v>128</v>
      </c>
      <c r="C148" t="s">
        <v>1517</v>
      </c>
      <c r="D148" t="s">
        <v>1518</v>
      </c>
      <c r="E148" t="s">
        <v>1630</v>
      </c>
      <c r="F148" t="s">
        <v>1630</v>
      </c>
      <c r="G148" t="s">
        <v>59</v>
      </c>
      <c r="H148" t="s">
        <v>1630</v>
      </c>
      <c r="I148" t="s">
        <v>1630</v>
      </c>
      <c r="J148" t="s">
        <v>1630</v>
      </c>
      <c r="K148" t="s">
        <v>1630</v>
      </c>
      <c r="L148" t="s">
        <v>59</v>
      </c>
      <c r="M148" t="s">
        <v>59</v>
      </c>
      <c r="N148" t="s">
        <v>59</v>
      </c>
      <c r="O148" t="s">
        <v>1630</v>
      </c>
      <c r="P148" t="s">
        <v>1630</v>
      </c>
    </row>
    <row r="149" spans="1:16" x14ac:dyDescent="0.2">
      <c r="A149" s="148"/>
      <c r="B149">
        <v>129</v>
      </c>
      <c r="C149" t="s">
        <v>1527</v>
      </c>
      <c r="D149" t="s">
        <v>1528</v>
      </c>
      <c r="E149" t="s">
        <v>1630</v>
      </c>
      <c r="F149" t="s">
        <v>1630</v>
      </c>
      <c r="G149" t="s">
        <v>59</v>
      </c>
      <c r="H149" t="s">
        <v>59</v>
      </c>
      <c r="I149" t="s">
        <v>1630</v>
      </c>
      <c r="J149" t="s">
        <v>1630</v>
      </c>
      <c r="K149" t="s">
        <v>1630</v>
      </c>
      <c r="L149" t="s">
        <v>1630</v>
      </c>
      <c r="M149" t="s">
        <v>1630</v>
      </c>
      <c r="N149" t="s">
        <v>1630</v>
      </c>
      <c r="O149" t="s">
        <v>59</v>
      </c>
      <c r="P149" t="s">
        <v>1630</v>
      </c>
    </row>
    <row r="150" spans="1:16" x14ac:dyDescent="0.2">
      <c r="A150" s="148"/>
      <c r="B150">
        <v>91</v>
      </c>
      <c r="C150" t="s">
        <v>1537</v>
      </c>
      <c r="D150" t="s">
        <v>1538</v>
      </c>
      <c r="E150" t="s">
        <v>1630</v>
      </c>
      <c r="F150" t="s">
        <v>1630</v>
      </c>
      <c r="G150" t="s">
        <v>59</v>
      </c>
      <c r="H150" t="s">
        <v>59</v>
      </c>
      <c r="I150" t="s">
        <v>1630</v>
      </c>
      <c r="J150" t="s">
        <v>1630</v>
      </c>
      <c r="K150" t="s">
        <v>1630</v>
      </c>
      <c r="L150" t="s">
        <v>1630</v>
      </c>
      <c r="M150" t="s">
        <v>1630</v>
      </c>
      <c r="N150" t="s">
        <v>59</v>
      </c>
      <c r="O150" t="s">
        <v>59</v>
      </c>
      <c r="P150" t="s">
        <v>1630</v>
      </c>
    </row>
    <row r="151" spans="1:16" x14ac:dyDescent="0.2">
      <c r="A151" s="148"/>
      <c r="B151">
        <v>126</v>
      </c>
      <c r="C151" t="s">
        <v>1546</v>
      </c>
      <c r="D151" t="s">
        <v>858</v>
      </c>
      <c r="E151" t="s">
        <v>1630</v>
      </c>
      <c r="F151" t="s">
        <v>1630</v>
      </c>
      <c r="G151" t="s">
        <v>1630</v>
      </c>
      <c r="H151" t="s">
        <v>1630</v>
      </c>
      <c r="I151" t="s">
        <v>1630</v>
      </c>
      <c r="J151" t="s">
        <v>1630</v>
      </c>
      <c r="K151" t="s">
        <v>1630</v>
      </c>
      <c r="L151" t="s">
        <v>1630</v>
      </c>
      <c r="M151" t="s">
        <v>1630</v>
      </c>
      <c r="N151" t="s">
        <v>1630</v>
      </c>
      <c r="O151" t="s">
        <v>1630</v>
      </c>
      <c r="P151" t="s">
        <v>1630</v>
      </c>
    </row>
    <row r="152" spans="1:16" x14ac:dyDescent="0.2">
      <c r="A152" s="148"/>
      <c r="B152">
        <v>42</v>
      </c>
      <c r="C152" t="s">
        <v>1552</v>
      </c>
      <c r="D152" t="s">
        <v>1553</v>
      </c>
      <c r="E152" t="s">
        <v>59</v>
      </c>
      <c r="F152" t="s">
        <v>59</v>
      </c>
      <c r="G152" t="s">
        <v>59</v>
      </c>
      <c r="H152" t="s">
        <v>59</v>
      </c>
      <c r="I152" t="s">
        <v>59</v>
      </c>
      <c r="J152" t="s">
        <v>1630</v>
      </c>
      <c r="K152" t="s">
        <v>1630</v>
      </c>
      <c r="L152" t="s">
        <v>1630</v>
      </c>
      <c r="M152" t="s">
        <v>1630</v>
      </c>
      <c r="N152" t="s">
        <v>59</v>
      </c>
      <c r="O152" t="s">
        <v>1630</v>
      </c>
      <c r="P152" t="s">
        <v>1630</v>
      </c>
    </row>
    <row r="153" spans="1:16" x14ac:dyDescent="0.2">
      <c r="A153" s="148"/>
      <c r="B153">
        <v>125</v>
      </c>
      <c r="C153" t="s">
        <v>1559</v>
      </c>
      <c r="D153" t="s">
        <v>1560</v>
      </c>
      <c r="E153" t="s">
        <v>1630</v>
      </c>
      <c r="F153" t="s">
        <v>1630</v>
      </c>
      <c r="G153" t="s">
        <v>1630</v>
      </c>
      <c r="H153" t="s">
        <v>59</v>
      </c>
      <c r="I153" t="s">
        <v>59</v>
      </c>
      <c r="J153" t="s">
        <v>1630</v>
      </c>
      <c r="K153" t="s">
        <v>1630</v>
      </c>
      <c r="L153" t="s">
        <v>1630</v>
      </c>
      <c r="M153" t="s">
        <v>1630</v>
      </c>
      <c r="N153" t="s">
        <v>59</v>
      </c>
      <c r="O153" t="s">
        <v>1630</v>
      </c>
      <c r="P153" t="s">
        <v>1630</v>
      </c>
    </row>
    <row r="154" spans="1:16" x14ac:dyDescent="0.2">
      <c r="A154" s="148"/>
      <c r="B154">
        <v>135</v>
      </c>
      <c r="C154" t="s">
        <v>1570</v>
      </c>
      <c r="D154" t="s">
        <v>1571</v>
      </c>
      <c r="E154" t="s">
        <v>1630</v>
      </c>
      <c r="F154" t="s">
        <v>1630</v>
      </c>
      <c r="G154" t="s">
        <v>1630</v>
      </c>
      <c r="H154" t="s">
        <v>1630</v>
      </c>
      <c r="I154" t="s">
        <v>1630</v>
      </c>
      <c r="J154" t="s">
        <v>59</v>
      </c>
      <c r="K154" t="s">
        <v>1630</v>
      </c>
      <c r="L154" t="s">
        <v>1630</v>
      </c>
      <c r="M154" t="s">
        <v>59</v>
      </c>
      <c r="N154" t="s">
        <v>59</v>
      </c>
      <c r="O154" t="s">
        <v>1630</v>
      </c>
      <c r="P154" t="s">
        <v>1630</v>
      </c>
    </row>
    <row r="155" spans="1:16" x14ac:dyDescent="0.2">
      <c r="A155" s="148"/>
      <c r="B155">
        <v>81</v>
      </c>
      <c r="C155" t="s">
        <v>1584</v>
      </c>
      <c r="D155" t="s">
        <v>1585</v>
      </c>
      <c r="E155" t="s">
        <v>1630</v>
      </c>
      <c r="F155" t="s">
        <v>1630</v>
      </c>
      <c r="G155" t="s">
        <v>1630</v>
      </c>
      <c r="H155" t="s">
        <v>59</v>
      </c>
      <c r="I155" t="s">
        <v>1630</v>
      </c>
      <c r="J155" t="s">
        <v>1630</v>
      </c>
      <c r="K155" t="s">
        <v>1630</v>
      </c>
      <c r="L155" t="s">
        <v>1630</v>
      </c>
      <c r="M155" s="71" t="s">
        <v>1630</v>
      </c>
      <c r="N155" t="s">
        <v>1630</v>
      </c>
      <c r="O155" t="s">
        <v>1630</v>
      </c>
      <c r="P155" t="s">
        <v>1630</v>
      </c>
    </row>
    <row r="156" spans="1:16" ht="35" x14ac:dyDescent="0.2">
      <c r="A156" s="90" t="s">
        <v>1593</v>
      </c>
      <c r="B156" s="74">
        <v>16</v>
      </c>
      <c r="C156" s="74" t="s">
        <v>1594</v>
      </c>
      <c r="D156" s="74" t="s">
        <v>1595</v>
      </c>
      <c r="E156" s="74" t="s">
        <v>59</v>
      </c>
      <c r="F156" s="74" t="s">
        <v>59</v>
      </c>
      <c r="G156" s="74" t="s">
        <v>59</v>
      </c>
      <c r="H156" s="74" t="s">
        <v>59</v>
      </c>
      <c r="I156" s="74" t="s">
        <v>1630</v>
      </c>
      <c r="J156" s="74" t="s">
        <v>59</v>
      </c>
      <c r="K156" s="74" t="s">
        <v>1630</v>
      </c>
      <c r="L156" s="74" t="s">
        <v>1630</v>
      </c>
      <c r="M156" s="74" t="s">
        <v>1630</v>
      </c>
      <c r="N156" s="74" t="s">
        <v>1630</v>
      </c>
      <c r="O156" s="74" t="s">
        <v>59</v>
      </c>
      <c r="P156" s="74" t="s">
        <v>1630</v>
      </c>
    </row>
    <row r="157" spans="1:16" x14ac:dyDescent="0.2">
      <c r="D157" s="82" t="s">
        <v>1659</v>
      </c>
      <c r="E157">
        <f t="shared" ref="E157:P157" si="0">COUNTIF(E3:E156, "N")</f>
        <v>66</v>
      </c>
      <c r="F157">
        <f t="shared" si="0"/>
        <v>20</v>
      </c>
      <c r="G157">
        <f t="shared" si="0"/>
        <v>111</v>
      </c>
      <c r="H157">
        <f t="shared" ref="H157" si="1">COUNTIF(H3:H156, "N")</f>
        <v>114</v>
      </c>
      <c r="I157">
        <f t="shared" ref="I157" si="2">COUNTIF(I3:I156, "N")</f>
        <v>68</v>
      </c>
      <c r="J157">
        <f t="shared" si="0"/>
        <v>68</v>
      </c>
      <c r="K157">
        <f t="shared" si="0"/>
        <v>14</v>
      </c>
      <c r="L157">
        <f t="shared" si="0"/>
        <v>18</v>
      </c>
      <c r="M157">
        <f t="shared" si="0"/>
        <v>46</v>
      </c>
      <c r="N157">
        <f>COUNTIF(N3:N156, "N")</f>
        <v>60</v>
      </c>
      <c r="O157">
        <f t="shared" si="0"/>
        <v>67</v>
      </c>
      <c r="P157">
        <f t="shared" si="0"/>
        <v>17</v>
      </c>
    </row>
    <row r="162" spans="4:4" x14ac:dyDescent="0.2">
      <c r="D162" s="71"/>
    </row>
  </sheetData>
  <mergeCells count="8">
    <mergeCell ref="E1:P1"/>
    <mergeCell ref="A122:A140"/>
    <mergeCell ref="A141:A155"/>
    <mergeCell ref="A109:A121"/>
    <mergeCell ref="A85:A108"/>
    <mergeCell ref="A79:A84"/>
    <mergeCell ref="A3:A78"/>
    <mergeCell ref="A1:D1"/>
  </mergeCells>
  <pageMargins left="0.7" right="0.7" top="0.75" bottom="0.75" header="0.3" footer="0.3"/>
</worksheet>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All_Data</vt:lpstr>
      <vt:lpstr>Table_2</vt:lpstr>
      <vt:lpstr>Table_3</vt:lpstr>
      <vt:lpstr>Fig_3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Veronika Potter</dc:creator>
  <cp:keywords/>
  <dc:description/>
  <cp:lastModifiedBy>Veronika Potter</cp:lastModifiedBy>
  <cp:revision/>
  <dcterms:created xsi:type="dcterms:W3CDTF">2026-07-08T18:26:08Z</dcterms:created>
  <dcterms:modified xsi:type="dcterms:W3CDTF">2026-07-31T20:56:42Z</dcterms:modified>
  <cp:category/>
  <cp:contentStatus/>
</cp:coreProperties>
</file>