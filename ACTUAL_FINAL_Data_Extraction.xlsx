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mc:AlternateContent xmlns:mc="http://schemas.openxmlformats.org/markup-compatibility/2006">
    <mc:Choice Requires="x15">
      <x15ac:absPath xmlns:x15ac="http://schemas.microsoft.com/office/spreadsheetml/2010/11/ac" url="/Users/veronikapotter/wao-har-systematic-review/"/>
    </mc:Choice>
  </mc:AlternateContent>
  <xr:revisionPtr revIDLastSave="0" documentId="13_ncr:1_{376873B3-B7D0-ED4E-9BEA-B6DC012198D9}" xr6:coauthVersionLast="47" xr6:coauthVersionMax="47" xr10:uidLastSave="{00000000-0000-0000-0000-000000000000}"/>
  <bookViews>
    <workbookView xWindow="2660" yWindow="2360" windowWidth="29400" windowHeight="18380" xr2:uid="{00000000-000D-0000-FFFF-FFFF00000000}"/>
  </bookViews>
  <sheets>
    <sheet name="Final_Data_Extrac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2" i="1" l="1"/>
  <c r="L162" i="1"/>
  <c r="M162" i="1"/>
  <c r="N162" i="1"/>
  <c r="O162" i="1"/>
  <c r="P162" i="1"/>
  <c r="Q162" i="1"/>
  <c r="R162" i="1"/>
  <c r="S162" i="1"/>
  <c r="T162" i="1"/>
  <c r="W162" i="1"/>
  <c r="Z162" i="1"/>
  <c r="AA162" i="1"/>
  <c r="AB162" i="1"/>
  <c r="J162" i="1"/>
  <c r="BS133" i="1" l="1"/>
</calcChain>
</file>

<file path=xl/sharedStrings.xml><?xml version="1.0" encoding="utf-8"?>
<sst xmlns="http://schemas.openxmlformats.org/spreadsheetml/2006/main" count="4718" uniqueCount="1425">
  <si>
    <t>Evaluation and Performance</t>
  </si>
  <si>
    <t>Availability</t>
  </si>
  <si>
    <t>Title</t>
  </si>
  <si>
    <t>doi</t>
  </si>
  <si>
    <t>Date (Month)</t>
  </si>
  <si>
    <t>Date (Year)</t>
  </si>
  <si>
    <t>Dataset Name</t>
  </si>
  <si>
    <t>Frequency (Hz)</t>
  </si>
  <si>
    <t>No. Participants</t>
  </si>
  <si>
    <t>Demographics</t>
  </si>
  <si>
    <t>Balanced?</t>
  </si>
  <si>
    <t>No. Activities</t>
  </si>
  <si>
    <t>Activity Names</t>
  </si>
  <si>
    <t>Activitiy Definitions</t>
  </si>
  <si>
    <t>Sensor Location</t>
  </si>
  <si>
    <t>Implementation (software/libraries)</t>
  </si>
  <si>
    <t>Hand Crafted Features?</t>
  </si>
  <si>
    <t xml:space="preserve">Features </t>
  </si>
  <si>
    <t>Window length (s)</t>
  </si>
  <si>
    <t>Overlap (%)</t>
  </si>
  <si>
    <t>Train/Test Split</t>
  </si>
  <si>
    <t>Metrics</t>
  </si>
  <si>
    <t>Class Wise Evaluation</t>
  </si>
  <si>
    <t>Performance of Other Sensors (same dataset)</t>
  </si>
  <si>
    <t>Trained on a dataset and evaluated on another one</t>
  </si>
  <si>
    <t>A Comprehensive Analysis on Wearable Acceleration Sensors in Human Activity Recognition</t>
  </si>
  <si>
    <t>Majid Janidarmian</t>
  </si>
  <si>
    <t>https://doi.org/10.3390/s17030529</t>
  </si>
  <si>
    <t>Feb</t>
  </si>
  <si>
    <t>Aggregated 14 datasets</t>
  </si>
  <si>
    <t>Y</t>
  </si>
  <si>
    <t>N/A</t>
  </si>
  <si>
    <t>Listed for each dataset</t>
  </si>
  <si>
    <t>N</t>
  </si>
  <si>
    <t>walking, running, jogging, cycling, standing, sitting, lying down, ascending and descending stairs</t>
  </si>
  <si>
    <t>B</t>
  </si>
  <si>
    <t xml:space="preserve">293 different classifiers (DT, discriminant analysis, SVM, KNN, ensemble methods, NB, and NN) </t>
  </si>
  <si>
    <t>Table 1</t>
  </si>
  <si>
    <t xml:space="preserve">Varies from 1 - 15 s in 1s intervals </t>
  </si>
  <si>
    <t>LOSO CV</t>
  </si>
  <si>
    <t>Accuracy</t>
  </si>
  <si>
    <t>Figure 5</t>
  </si>
  <si>
    <t>Activity Recognition Using Community Data to Complement Small Amounts of Labeled Instances</t>
  </si>
  <si>
    <t>Enrique Garcia-Ceja</t>
  </si>
  <si>
    <t>10.3390/s16060877</t>
  </si>
  <si>
    <t>June</t>
  </si>
  <si>
    <t>Bruno ADL</t>
  </si>
  <si>
    <t>lab</t>
  </si>
  <si>
    <t>(1) brush teeth; (2) climb stairs; (3) comb hair; (4) descend stairs; (5) drink glass; (8) get out of bed; (9) lie-down in bed; (10) pour water; (11) sit-down in chair; (12) stand-up from chair; (13) use telephone; and (14) walk.</t>
  </si>
  <si>
    <t>R</t>
  </si>
  <si>
    <t>Unclear architecutre. They make user-dependent (a model using only the users data) and personal (general models that have been fine tuned) models. Personal model are called PM. They also use genral models (GM)</t>
  </si>
  <si>
    <t>Y (we don't know what model it is but they do different evaluations for PM, GM, and user-dependent)</t>
  </si>
  <si>
    <t>N (they have for other datasets but not for WAO)</t>
  </si>
  <si>
    <t>Robust Single Accelerometer-Based Activity Recognition Using Modified Recurrence Plot</t>
  </si>
  <si>
    <t>Jianjie Lu</t>
  </si>
  <si>
    <t>https://doi.org/10.1109/JSEN.2019.2911204</t>
  </si>
  <si>
    <t>Aug</t>
  </si>
  <si>
    <t xml:space="preserve">ASTRI </t>
  </si>
  <si>
    <t>ASTRI wrist band</t>
  </si>
  <si>
    <t>"different genders and
ages"</t>
  </si>
  <si>
    <t>walking, sitting, standing, squatting and lying</t>
  </si>
  <si>
    <t>7 baselines: RF, SVM, CNN, DTW+1NN (dynamic time warping), STN+Clustering, LSTM+FCN, and RP+ResNET (their model is a novel RP+ResNet)</t>
  </si>
  <si>
    <t>Table 2</t>
  </si>
  <si>
    <t>https://github.com/lulujianjie/robust-single-accelerometer-based-activity-recognition-using-modified-recurrence-plot</t>
  </si>
  <si>
    <t>TTS</t>
  </si>
  <si>
    <t>WHARF</t>
  </si>
  <si>
    <t>climbing stairs, drinking water, getting up bed, pouring water, sitting down, standing up, and  walking</t>
  </si>
  <si>
    <t>Daily living activity recognition based on statistical feature quality group selection</t>
  </si>
  <si>
    <t>Oresti Banos</t>
  </si>
  <si>
    <t>https://doi.org/10.1016/j.eswa.2012.01.164</t>
  </si>
  <si>
    <t>Jul</t>
  </si>
  <si>
    <t>Bao + Intille</t>
  </si>
  <si>
    <t>Walking, sitting and relaxing, standing still and running</t>
  </si>
  <si>
    <t>C4.5 (DT), SVM with RBF kernel, NB</t>
  </si>
  <si>
    <t>10-fold CV</t>
  </si>
  <si>
    <t>Research on human activity recognition based on active learning</t>
  </si>
  <si>
    <t>Rong Liu</t>
  </si>
  <si>
    <t>https://doi.org/10.1109/ICMLC.2010.5581050</t>
  </si>
  <si>
    <t>MIT (not cited) Bao + Intille</t>
  </si>
  <si>
    <t>Includes walking, sitting, working on computer,
standing, eating or drinking, running, bicycling,
vacuuming, folding laundry.</t>
  </si>
  <si>
    <t>D</t>
  </si>
  <si>
    <t>Table 1, 2</t>
  </si>
  <si>
    <t>AccNet24: A deep learning framework for classifying 24-hour activity behaviours from wrist-worn accelerometer data under free-living environments</t>
  </si>
  <si>
    <t>Vahid Farrahi</t>
  </si>
  <si>
    <t>https://doi.org/10.1016/j.ijmediN/A.2023.105004</t>
  </si>
  <si>
    <t>Apr</t>
  </si>
  <si>
    <t>CAPTURE-24</t>
  </si>
  <si>
    <t xml:space="preserve">Axivity AX3 </t>
  </si>
  <si>
    <t>Sleep, sed, lpa, mvpa</t>
  </si>
  <si>
    <t xml:space="preserve">Table 1
</t>
  </si>
  <si>
    <t>Balanced RF, ANN, SVM, DT, NB, Acc-Net</t>
  </si>
  <si>
    <t>MATLAB, pyts package</t>
  </si>
  <si>
    <t>Y (when applicable)</t>
  </si>
  <si>
    <t>Data augmentation for Human Activity Recognition with Generative Adversarial Networks</t>
  </si>
  <si>
    <t>Marcos Lupion</t>
  </si>
  <si>
    <t>10.1109/JBHI.2024.3364910</t>
  </si>
  <si>
    <t xml:space="preserve">April </t>
  </si>
  <si>
    <t>Cleland</t>
  </si>
  <si>
    <t>Shimmer 2R</t>
  </si>
  <si>
    <t>"undergraduate students"</t>
  </si>
  <si>
    <t>hand washing, hair grooming, standing, sitting, walking, catching, passign, bouncing, seving floor, chopping vegs, arm curls, lateral arm raise, deadlifes, stepping, jogging, washing dishes, window washing, mizing food, ironing clothes, teeth brushing</t>
  </si>
  <si>
    <t>cGAN, cWGAN</t>
  </si>
  <si>
    <t>F1</t>
  </si>
  <si>
    <t>https://github.com/marcoslupion/SyntheticAccelerometryHAR</t>
  </si>
  <si>
    <t>Evaluating the Impact of a Two-Stage Multivariate Data Cleansing Approach to Improve to the Performance of Machine Learning Classifiers: A Case Study in Human Activity Recognition</t>
  </si>
  <si>
    <t>Dionicio Neira-Rodado</t>
  </si>
  <si>
    <t>https://doi.org/10.3390/s20071858</t>
  </si>
  <si>
    <t>Mar</t>
  </si>
  <si>
    <t>Cleland - [Pervasive Computing in Healthcare module existing dataset. Cleland, I.; Donnelly, M.P.; Nugent, C.D.; Hallberg, J.; Espinilla, M.; Garcia-Constantino, M. Collection of a
Diverse, Realistic and Annotated Dataset for Wearable Activity Recognition. In Proceedings of the 2018 IEEE
International] CoN/Aerence on Pervasive Computing and Communications Workshops (PerCom Workshops),
Athens, Greece, 19–23 March 2018; pp. 555–560</t>
  </si>
  <si>
    <t>Shimmer</t>
  </si>
  <si>
    <t>KNN, SVM, RF,  NN, and Regression</t>
  </si>
  <si>
    <t>R and WEKA</t>
  </si>
  <si>
    <t>Table 3</t>
  </si>
  <si>
    <t>Table 5, 6, 7</t>
  </si>
  <si>
    <t>Human Activity Recognition: A Comparative Study to Assess the Contribution Level of Accelerometer, ECG, and PPG Signals</t>
  </si>
  <si>
    <t>Mahsa Sadat Afzali Arani</t>
  </si>
  <si>
    <t>https://doi.org/10.3390/s21216997</t>
  </si>
  <si>
    <t>Oct</t>
  </si>
  <si>
    <t>DaLiAc</t>
  </si>
  <si>
    <t>Empatica E4</t>
  </si>
  <si>
    <t>Sitting, ascending/descending stairs, playing table soccer, outdoor cycling, and walking</t>
  </si>
  <si>
    <t xml:space="preserve">Sitting: Sitting while reading 
Ascending/descending stairs: Climbing six floors up and going down, repeated two times 
Play table soccer: Playing table soccer, 1 vs. 1 
Cycling: Cycling 2 km outdoors cycling with gravel and paved road condition 
Walking: Walking back from the canteen to the office, with some detour </t>
  </si>
  <si>
    <t>ND</t>
  </si>
  <si>
    <t>RF</t>
  </si>
  <si>
    <t>trees = 300, 25 is max depth. Scikit learn</t>
  </si>
  <si>
    <t>10-fold CV (within subject classififciation) and LOSO CV</t>
  </si>
  <si>
    <t>AUC, F1</t>
  </si>
  <si>
    <t>Transfer Learning in Body Sensor Networks Using Ensembles of Randomized Trees</t>
  </si>
  <si>
    <t>Pierluigi Casale</t>
  </si>
  <si>
    <t>https://doi.org/10.1109/JIOT.2015.2389335</t>
  </si>
  <si>
    <t xml:space="preserve">Feb </t>
  </si>
  <si>
    <t>walking, standing, running, cycling, household activities, sitting, and lying</t>
  </si>
  <si>
    <t>NCC, KNN,  SVM, radomized trees: Bagging, RF, Rot (rotation forest)</t>
  </si>
  <si>
    <t>N/A (12 dimension vector)</t>
  </si>
  <si>
    <t>IMEC</t>
  </si>
  <si>
    <t>household activities, resting, sitting, sport, and walking</t>
  </si>
  <si>
    <t>Oulu</t>
  </si>
  <si>
    <t>walking, standing, running, cycling, manual activities, and low-level activity</t>
  </si>
  <si>
    <t>"mean and standard deviation."</t>
  </si>
  <si>
    <t>MFE-HAR: multiscale feature engineering for human activity recognitionusing wearable sensors</t>
  </si>
  <si>
    <t>Jianchao Lu</t>
  </si>
  <si>
    <t>https://doi.org/10.1145/3360774.3360787</t>
  </si>
  <si>
    <t>Lab</t>
  </si>
  <si>
    <t>sitting, lying, standing, washing dishes, vacuuming, sweeping, walking, ascending stairs, descending stairs, treadmill running, bicycling on ergometer (50W), bicycling on ergometer (100W) and rope jumping.</t>
  </si>
  <si>
    <t xml:space="preserve">GBDT, RF, LR, KNN, and SVM 
NOTE: their novel model uses more than wrist-accelerometer only data. </t>
  </si>
  <si>
    <t>Python 3.6</t>
  </si>
  <si>
    <t>Accuracy, F1, Precision, Recall</t>
  </si>
  <si>
    <t>MHEALTH</t>
  </si>
  <si>
    <t>standing still, sitting and relaxing, lying down, walking, climbing stairs, waist bends forward, frontal elevation of arms, knees bending (crouching), cycling, jogging, running, and jump front and back.</t>
  </si>
  <si>
    <t>Sensor-based Complex Human Activity Recognition from Smartwatch Data using Hybrid Deep Learning Network</t>
  </si>
  <si>
    <t>Sakorn Mekruksavanich</t>
  </si>
  <si>
    <t>https://doi.org/10.1109/ITC-CSCC52171.2021.9501477</t>
  </si>
  <si>
    <t xml:space="preserve">DHA </t>
  </si>
  <si>
    <t>Apple Watch 2</t>
  </si>
  <si>
    <t>office working, reading, writing, taking a rest, playing a game, eating, cooking, dish washing, walking, running, raking transport</t>
  </si>
  <si>
    <t>CNN, LSTM, (their novel CNN with LSTM uses location data)</t>
  </si>
  <si>
    <t>Python v.3.6.9, TensorFlow v.2.2.0, Keras v.2.3.1, Scikit-Learn, Numpy v.1.18.5, and Pandas v.1.0.5</t>
  </si>
  <si>
    <t>5, 10, 20, 30, 40s</t>
  </si>
  <si>
    <t>Efficient Recognition of Complex Human Activities Based on Smartwatch Sensors Using Deep Pyramidal Residual Network</t>
  </si>
  <si>
    <t>https://doi.org/10.1109/ICITEE59582.2023.10317707</t>
  </si>
  <si>
    <t>Nov</t>
  </si>
  <si>
    <t>Apple Watch</t>
  </si>
  <si>
    <t>Office work, reading, writing, talking a rest, playing a game, eating, cooking, washing dishes, walking, running, taking transport</t>
  </si>
  <si>
    <t xml:space="preserve">1D pyramid net. CNN, LSTM, BiLSTM, GRU, BiGRU </t>
  </si>
  <si>
    <t>Accuracy, F1, Loss</t>
  </si>
  <si>
    <t>Semi-supervised Multi-source Domain Adaptation in Wearable Activity Recognition</t>
  </si>
  <si>
    <t>Avijoy Chakma</t>
  </si>
  <si>
    <t>https://doi.org/10.1109/DCOSS54816.2022.00017</t>
  </si>
  <si>
    <t>May</t>
  </si>
  <si>
    <t>DSADS</t>
  </si>
  <si>
    <t>Standing, Lying-back, Ascending, Walking-parking-lot, Treadmill-running, Stepper-exercise, Cross-trainer-exercise, Rowing, Jumping, Playing-basketball</t>
  </si>
  <si>
    <t>RevGrand (novel), MADA, MSADA, and SS-MSADA</t>
  </si>
  <si>
    <t>PyTorch + sklearn for metrics</t>
  </si>
  <si>
    <t>Micro F1</t>
  </si>
  <si>
    <t>Opportunity</t>
  </si>
  <si>
    <t>Standing, Walking, Sitting, Lying</t>
  </si>
  <si>
    <t>PAMAP2</t>
  </si>
  <si>
    <t>Lying, Sitting, Standing, Walking, Running, Cycling, Ascending, Descending, Vacuum, Ironing, Rope jumping</t>
  </si>
  <si>
    <t>HARKE: Human Activity Recognition from Kinetic Energy Harvesting Data in Wearable Devices</t>
  </si>
  <si>
    <t>Sara Khalifa</t>
  </si>
  <si>
    <t>https://doi.org/10.1109/TMC.2017.2761744</t>
  </si>
  <si>
    <t>Jun</t>
  </si>
  <si>
    <t>(1) C4.5 Decision Tree (DT) [50]; (2) IBk Nearest Neighbour (NN) [51]; (3) Naive Bayes classifier with kernel estimation; and (4) Support Vector Machine (SVM) [52]</t>
  </si>
  <si>
    <t>WEKA</t>
  </si>
  <si>
    <t>Toward Ultra-Low-Power Remote Health Monitoring: An Optimal and Adaptive Compressed Sensing Framework for Activity Recognition</t>
  </si>
  <si>
    <t>Josué Pagán</t>
  </si>
  <si>
    <t>https://doi.org/10.1109/TMC.2018.2843373</t>
  </si>
  <si>
    <t>Sitting, walking, runing at different speed, hymping, rowing or playing basketball</t>
  </si>
  <si>
    <t>MATLAB, not for everything</t>
  </si>
  <si>
    <t>"From these data, 10 different statistical features were
extracted [44] for each axis of the accelerometer. This leads
to 30 features per data segment of 5 seconds. These features
are: the amplitude of the segment amp, the median med, the
mean mn, the maximum and minimum values (max and
min), the peak to peak increment p2p, the variance and the
standard deviation (var and std), the root mean square
value rms and, finally, the difference between the first and
last values of the sequence s2e."</t>
  </si>
  <si>
    <t>How Accurately Can Your Wrist Device Recognize Daily Activities and Detect Falls?</t>
  </si>
  <si>
    <t>Martin Gjoreski</t>
  </si>
  <si>
    <t>https://doi.org/10.3390/s16060800</t>
  </si>
  <si>
    <t>SC (Faculty of Sports)</t>
  </si>
  <si>
    <t>lying (23%), standing (17%), walking (14%), sitting (12%), cycling (10), on all fours (8%), kneeling (6%), running (5%), bending and transition</t>
  </si>
  <si>
    <t>J48, RF, NB, SVM, KNN</t>
  </si>
  <si>
    <t>Figure 7</t>
  </si>
  <si>
    <t>SC (JSI)</t>
  </si>
  <si>
    <t>Xsens-MTx inertial sensors</t>
  </si>
  <si>
    <t>cycling (18%), walking (17%), standing (14%), lying (13%), sitting (11%), running (9%), on all fours (7%), kneeling (5), bending (3.5), and transition (2.5%)</t>
  </si>
  <si>
    <t>InertiaCube3</t>
  </si>
  <si>
    <t>standing (50%), walking (28%), sitting (19%), and lying (3%)</t>
  </si>
  <si>
    <t>Topological persistence guided knowledge distillation for wearable sensor data</t>
  </si>
  <si>
    <t xml:space="preserve">Eun Som Jeon </t>
  </si>
  <si>
    <t>https://doi.org/10.1016/j.engappai.2023.107719</t>
  </si>
  <si>
    <t>GENEActiv</t>
  </si>
  <si>
    <t>Teacher (CNN) / Student (WRN, wideresnet) model</t>
  </si>
  <si>
    <t>Scikit-TDA (images)</t>
  </si>
  <si>
    <t>Table 2, 3</t>
  </si>
  <si>
    <t>N* (they say released upon acceptance)</t>
  </si>
  <si>
    <t>Building robust models for Human Activity Recognition from raw accelerometers data using Gated Recurrent Units and Long Short Term Memory Neural Networks</t>
  </si>
  <si>
    <t>Jeremiah Okai</t>
  </si>
  <si>
    <t>https://doi.org/10.1109/EMBC.2019.8857288</t>
  </si>
  <si>
    <t>GOTOv</t>
  </si>
  <si>
    <t xml:space="preserve">RNN with LSTM + GRU </t>
  </si>
  <si>
    <t>A Transformer Based Approach for Activity Detection</t>
  </si>
  <si>
    <t>Gulshan Sharma</t>
  </si>
  <si>
    <t>https://doi.org/10.1145/3503161.3551598</t>
  </si>
  <si>
    <t>harAGE</t>
  </si>
  <si>
    <t>1D+ 2D CNNS. Transformer Network</t>
  </si>
  <si>
    <t>TensorFlow</t>
  </si>
  <si>
    <t>Macro Recall</t>
  </si>
  <si>
    <t>Significant Features for Human Activity Recognition Using Tri-Axial Accelerometers</t>
  </si>
  <si>
    <t>Mohamed Bennasar</t>
  </si>
  <si>
    <t>https://doi.org/10.3390/s22197482</t>
  </si>
  <si>
    <t>HHAR</t>
  </si>
  <si>
    <t xml:space="preserve">100, 200 </t>
  </si>
  <si>
    <t>Samsung and LG smartwatch</t>
  </si>
  <si>
    <t>walking, biking, sitting, ascending stairs, descending stairs and standing</t>
  </si>
  <si>
    <t>SVM (linear kernel), KNN (k=3)</t>
  </si>
  <si>
    <t>MATLAB</t>
  </si>
  <si>
    <t>5-fold CV</t>
  </si>
  <si>
    <t>Accuracy, F1</t>
  </si>
  <si>
    <t>Table 2, 3, 4</t>
  </si>
  <si>
    <t>Improving Deep Learning for HAR with Shallow LSTMs</t>
  </si>
  <si>
    <t>Marius Bock</t>
  </si>
  <si>
    <t>https://doi.org/10.1145/3460421.3480419</t>
  </si>
  <si>
    <t>Sep</t>
  </si>
  <si>
    <t>Biking, sitting, standing, walking, walking
upstairs and downstairs, (null)</t>
  </si>
  <si>
    <t>LSTMS (1 or 2 layered)</t>
  </si>
  <si>
    <t>PyTorch</t>
  </si>
  <si>
    <t>F1, Precision, Recall</t>
  </si>
  <si>
    <t>https://github.com/mariusbock/dl-for-har/tree/main</t>
  </si>
  <si>
    <t>RealWorld HAR</t>
  </si>
  <si>
    <t>Walking upstairs, walking downstairs, jumping, lying, standing, sitting, running, walking, (null)</t>
  </si>
  <si>
    <t>Towards Learning Discrete Representations via Self-Supervision for Wearables-Based Human Activity Recognition</t>
  </si>
  <si>
    <t>Harish Haresamudram</t>
  </si>
  <si>
    <t>https://doi.org/10.3390/s24041238</t>
  </si>
  <si>
    <t>50 (downsampled)</t>
  </si>
  <si>
    <t>Smartwatches (LG G and Samsung Galaxy Gear)</t>
  </si>
  <si>
    <t>Biking, sitting, going up and down the stairs, standing, and walking</t>
  </si>
  <si>
    <t>CNN, ConvLSTM, GRU, Multi-task self supervised, autoencoder, simclr, cpc, enchanced cpc, vq cpc + lstm, vq + gru</t>
  </si>
  <si>
    <t>0 (train), 50 (overlap for target)</t>
  </si>
  <si>
    <t xml:space="preserve">Table 2, Table 8. Table 6 uses embeddings learned from CAPTURE-24 data. </t>
  </si>
  <si>
    <t>Robust Human Activity Recognition using smartwatches and smartphones</t>
  </si>
  <si>
    <t xml:space="preserve">Rubén San-Segundo </t>
  </si>
  <si>
    <t>https://doi.org/10.1016/j.engappai.2018.04.002</t>
  </si>
  <si>
    <t>RF, HMMs, CNN-MLP, CNN-LSTM</t>
  </si>
  <si>
    <t>WEKA (RF) and keras (DL)</t>
  </si>
  <si>
    <t>Table 6 and 8</t>
  </si>
  <si>
    <t>A Systematic Study of Unsupervised Domain Adaptation for Robust Human-Activity Recognition</t>
  </si>
  <si>
    <t>Youngjae Chang</t>
  </si>
  <si>
    <t>https://doi.org/10.1145/3380985</t>
  </si>
  <si>
    <t>null, standing, walking, sitting, and lying</t>
  </si>
  <si>
    <t>CNN</t>
  </si>
  <si>
    <t>Macro F1</t>
  </si>
  <si>
    <t>Table 4</t>
  </si>
  <si>
    <t>bike, sit, stairsdown, stairsup, stand, and walk</t>
  </si>
  <si>
    <t>Recognizing and Understanding Sport Activities Based on Wearable Sensor Signals Using Deep Residual Network</t>
  </si>
  <si>
    <t>https://doi.org/10.1109/RI2C60382.2023.10356022</t>
  </si>
  <si>
    <t>table tennis, soccer, biking, badminton, basketball, and skipping</t>
  </si>
  <si>
    <t xml:space="preserve">Accuracy, Loss, F1 </t>
  </si>
  <si>
    <t>Rich learning representations for human activity recognition: How to empower deep feature learning for biological time series</t>
  </si>
  <si>
    <t>Ria Kanjilal</t>
  </si>
  <si>
    <t>https://doi.org/10.1016/j.jbi.2022.104180</t>
  </si>
  <si>
    <t>Activity recognition using a single accelerometer placed at the wrist or ankle</t>
  </si>
  <si>
    <t>Andrea Mannini</t>
  </si>
  <si>
    <t>10.1249/MSS.0b013e31829736d6</t>
  </si>
  <si>
    <t xml:space="preserve">Nov </t>
  </si>
  <si>
    <t>Mannini (SC)</t>
  </si>
  <si>
    <t>Wocket</t>
  </si>
  <si>
    <t>33 (from 42)</t>
  </si>
  <si>
    <t>4 (from 26)</t>
  </si>
  <si>
    <t>sedentary (lying, sitting, Internet search, reading, typing, writing, sorting files on paperwork, and standing still), cycling (indoor and outdoor), ambulation (natural walking, treadmill walking, carrying a box, and stairs up/down), and other activities (sweeping with broom and painting with roller or brush)</t>
  </si>
  <si>
    <t>Yes</t>
  </si>
  <si>
    <t>SVM</t>
  </si>
  <si>
    <t>Matlab</t>
  </si>
  <si>
    <t>LOPO CV</t>
  </si>
  <si>
    <t>Activity Recognition in Youth Using Single Accelerometer Placed at Wrist or Ankle</t>
  </si>
  <si>
    <t>10.1249/MSS.0000000000001144</t>
  </si>
  <si>
    <t>April</t>
  </si>
  <si>
    <t xml:space="preserve">Mannini </t>
  </si>
  <si>
    <t>4 (from 33)</t>
  </si>
  <si>
    <t>ambulation, cycling, other, and sedentary</t>
  </si>
  <si>
    <t>Table 4, 5, 6</t>
  </si>
  <si>
    <t>Classifier Personalization for Activity Recognition Using Wrist Accelerometers</t>
  </si>
  <si>
    <t>https://doi.org/10.1109/JBHI.2018.2869779</t>
  </si>
  <si>
    <t>Jul.</t>
  </si>
  <si>
    <t>Ambulation, Cycling, Other activities, Sedentary</t>
  </si>
  <si>
    <t>LibSVM toolbox</t>
  </si>
  <si>
    <t>F1, Accuracy</t>
  </si>
  <si>
    <t>A Lightweight Framework for Human Activity Recognition on Wearable Devices</t>
  </si>
  <si>
    <t>Yves Luduvico Coelho</t>
  </si>
  <si>
    <t>https://doi.org/10.1109/JSEN.2021.3113908</t>
  </si>
  <si>
    <t>Heirarchical model: 1) DT (static vs dynamic) and 2) a) 2d-CNN (between dynamic acts) with b) DT for the static acts</t>
  </si>
  <si>
    <t>Keras (CNN)</t>
  </si>
  <si>
    <t>Table 1, 2, 3, 4, 9</t>
  </si>
  <si>
    <t>Multi-Criteria Analysis of Sensor Reliability for Wearable Human Activity Recognitio</t>
  </si>
  <si>
    <t>Yilin Dong</t>
  </si>
  <si>
    <t>https://doi.org/10.1109/JSEN.2021.3089579</t>
  </si>
  <si>
    <t>standing still, sitting and relaxing, lying down, walking, climbing stairs, waist bends forward, frontal elevation of arms, knees bending, cycling, jogging, running, jump front and back</t>
  </si>
  <si>
    <t>Y for tranditional models</t>
  </si>
  <si>
    <t>"hand-crafted features"</t>
  </si>
  <si>
    <t>Activity classification using unsupervised domain transfer from body worn sensors</t>
  </si>
  <si>
    <t>Chaitra Hegde</t>
  </si>
  <si>
    <t>https://doi.org/10.1016/j.smhl.2023.100431</t>
  </si>
  <si>
    <t>Dec</t>
  </si>
  <si>
    <t>Conv-LSTM (CNN with LSTM)</t>
  </si>
  <si>
    <t>Accuracy, F1, Pecision, Recall</t>
  </si>
  <si>
    <t>Wearable Computing for Internet of Things: A Discriminant Approach for Human Activity Recognition</t>
  </si>
  <si>
    <t>Wei Lu</t>
  </si>
  <si>
    <t>https://doi.org/10.1109/JIOT.2018.2873594</t>
  </si>
  <si>
    <t>Shimmer2</t>
  </si>
  <si>
    <t>SVM, bagging, and KNN</t>
  </si>
  <si>
    <t>Accuracy, F1 Precision, Recall</t>
  </si>
  <si>
    <t>Table 8, 9, 10, 11</t>
  </si>
  <si>
    <t>From Lab to Real World: Assessing the Effectiveness of Human Activity Recognition and Optimization through Personalization</t>
  </si>
  <si>
    <t>Marija Stojchevska</t>
  </si>
  <si>
    <t>https://doi.org/10.3390/s23104606</t>
  </si>
  <si>
    <t>cycling, running, standing still, and walking</t>
  </si>
  <si>
    <t xml:space="preserve">CNN 
They asses the effect of training st size by using different cumulitive datasets (CDs) (CD 1 &lt; CD 2 &lt; … &lt; CD 8) </t>
  </si>
  <si>
    <t>Balanced Accuracy,  Logloss Macro and Micro F1</t>
  </si>
  <si>
    <t xml:space="preserve">Y
</t>
  </si>
  <si>
    <t>SC</t>
  </si>
  <si>
    <t>https://cloud.ilabt.imec.be/index.php/s/2zkXxEDTTQgkN5y</t>
  </si>
  <si>
    <t>computer table, walking, running, cycling, standing still</t>
  </si>
  <si>
    <t>Low Power Tiny Binary Neural Network with improved accuracy in Human Recognition Systems</t>
  </si>
  <si>
    <t xml:space="preserve">Antonio De Vita </t>
  </si>
  <si>
    <t>https://doi.org/10.1109/DSD51259.2020.00057</t>
  </si>
  <si>
    <t xml:space="preserve">25 (downsampled from 100)  </t>
  </si>
  <si>
    <t>6, 16</t>
  </si>
  <si>
    <t>standing, walking, running, biking, and rope jumping</t>
  </si>
  <si>
    <t xml:space="preserve">HNN (contains CNN) </t>
  </si>
  <si>
    <t>Lasagne</t>
  </si>
  <si>
    <t>5.12, 10.24, 51.20</t>
  </si>
  <si>
    <t>Recall</t>
  </si>
  <si>
    <t xml:space="preserve">Y </t>
  </si>
  <si>
    <t>Highly-accurate binary tiny neural network for low-power human activity recognition</t>
  </si>
  <si>
    <t>https://doi.org/10.1016/j.micpro.2021.104371</t>
  </si>
  <si>
    <t>Table 7</t>
  </si>
  <si>
    <t>A Partially Binarized Hybrid Neural Network System for Low-Power and Resource Constrained Human Activity Recognition</t>
  </si>
  <si>
    <t>https://doi.org/10.1109/TCSI.2020.3011984</t>
  </si>
  <si>
    <t xml:space="preserve">PAMAP2 </t>
  </si>
  <si>
    <t>Standing, walking, running, cycling, rope jumping</t>
  </si>
  <si>
    <t>HNN (contains convolutions)</t>
  </si>
  <si>
    <t>Lasagna and TensorFlow Lite</t>
  </si>
  <si>
    <t>"A window
of 5120 samples has been considered (about 50 s of data)."</t>
  </si>
  <si>
    <t>Reducing the Impact of Sensor Orientation Variability in Human Activity Recognition Using a Consistent Reference System</t>
  </si>
  <si>
    <t>Manuel Gil-Martín</t>
  </si>
  <si>
    <t>https://doi.org/10.3390/s23135845</t>
  </si>
  <si>
    <t>lying, sitting, standing, walking, running, cycling, Nordic walk, ascending stairs, descending stairs, ironing, vacuum cleaning, and rope jumping</t>
  </si>
  <si>
    <t>Table 3 and 4</t>
  </si>
  <si>
    <t>Digging deeper: towards a better understanding of transfer learning forhuman activity recognition</t>
  </si>
  <si>
    <t>Alexander Hoelzemann</t>
  </si>
  <si>
    <t>https://doi.org/10.1145/3410531.3414311</t>
  </si>
  <si>
    <t>null (0), lying (1), sitting (2), standing (3), walking (4), ascending stairs (12), descending stairs (13), vacuum cleaning (16) and ironing (17)</t>
  </si>
  <si>
    <t>ConvLSTM</t>
  </si>
  <si>
    <t>4-fold CV</t>
  </si>
  <si>
    <t>Optimising sampling rates for accelerometer-based human activity recognition</t>
  </si>
  <si>
    <t>Aftab Khan</t>
  </si>
  <si>
    <t>https://doi.org/10.1016/j.patrec.2016.01.001</t>
  </si>
  <si>
    <t>SVM (with RBF kernel)</t>
  </si>
  <si>
    <t>Ensemble Methods for Classification of Physical Activities from Wrist Accelerometry</t>
  </si>
  <si>
    <t>Aok Kumar Chowdhury</t>
  </si>
  <si>
    <t>10.1249/MSS.0000000000001291</t>
  </si>
  <si>
    <t>Sept</t>
  </si>
  <si>
    <t>Colobri IMU</t>
  </si>
  <si>
    <t>lying down, sitting, standing, walking running, cycling, ascending stairs, descending stairs</t>
  </si>
  <si>
    <t>ensemble method. BDT, KNN, SVM, ANN, WMV, NB cominer, and BKS combiner</t>
  </si>
  <si>
    <t>Tables 2-4</t>
  </si>
  <si>
    <t>https://github.com/alokchy04/Decision-Fused-Ensembles-for-PA-Classification-from-Wrist-Worn-Accelerometer</t>
  </si>
  <si>
    <t>sit or stand still, self-paced comfortable walk, self-paced brisk walk, jogging, and fast-run</t>
  </si>
  <si>
    <t>ActiGraph GT3X+</t>
  </si>
  <si>
    <t>Lying down, sitting (handwriting, computer game), standing with upper body movements (throw and catch, laundry task, floor sweeping), walking (comfortable overground walk, brisk overground walk, brisk treadmill walk), running, basketball, and dance</t>
  </si>
  <si>
    <t>Placement Effect of Motion Sensors for Human Activity Recognition using LSTM Network</t>
  </si>
  <si>
    <t>https://doi.org/10.1109/ECTIDAMTNCON51128.2021.9425719</t>
  </si>
  <si>
    <t>Colbri IMU</t>
  </si>
  <si>
    <t>inactive, active, walking, driving</t>
  </si>
  <si>
    <t>Python 3.6.9, Scikit-Learn libraries, Pandas 1.0.5 libraries, TensorFlow 2.2.0 libraries, Numpy 1.18.5 libraries, and Keras 2.3.1 libraries</t>
  </si>
  <si>
    <t>Accuracy, F1 , Precision, Recall</t>
  </si>
  <si>
    <t xml:space="preserve">N
</t>
  </si>
  <si>
    <t>An Approach towards Position-Independent Human Activity Recognition Model based on Wearable Accelerometer Sensor</t>
  </si>
  <si>
    <t xml:space="preserve">Naima Qamar </t>
  </si>
  <si>
    <t>https://doi.org/10.1016/j.procs.2020.10.028</t>
  </si>
  <si>
    <t>RF, SVM-SMO, KNN, BN, J48</t>
  </si>
  <si>
    <t>Accuracy, F1,  Precision, Sensitivity</t>
  </si>
  <si>
    <t>Activity Recognition Using One-Versus-All Strategy with Relief-F and Self-Adaptive Algorithm</t>
  </si>
  <si>
    <t>M. N Shah Zainudin</t>
  </si>
  <si>
    <t>https://doi.org/10.1109/ICOS.2018.8632818</t>
  </si>
  <si>
    <t xml:space="preserve">Lying, sitting, standing, walking, running, nordic walk, watch tv, comp work, car driving, ascending, descending, vacuum, ironing, folding, cleaning, play soccer, jump rope </t>
  </si>
  <si>
    <t>Position-aware activity recognition with wearable devices</t>
  </si>
  <si>
    <t>Timo Sztyler</t>
  </si>
  <si>
    <t>https://doi.org/10.1016/j.pmcj.2017.01.008</t>
  </si>
  <si>
    <t>LG G watch R</t>
  </si>
  <si>
    <t>stairs down (A1) and up (A2), jumping (A3), lying (A4), standing (A5), sitting (A6), running/jogging (A7), and walking (A8)</t>
  </si>
  <si>
    <t>Randomly, LOSO CV, TopPairs CV, and Physical CV</t>
  </si>
  <si>
    <t>Table 9, 10</t>
  </si>
  <si>
    <t>Comparison of Data Preprocessing Approaches for Applying Deep Learning to Human Activity Recognition in the Context of Industry 4.0</t>
  </si>
  <si>
    <t>Xiaochen Zheng</t>
  </si>
  <si>
    <t>https://doi.org/10.3390/s18072146</t>
  </si>
  <si>
    <t>climbing stairs down (A1), climbing stairs up (A2), jumping (A3), lying (A4), jogging (A5), standing (A6), sitting (A7), and walking (A8)</t>
  </si>
  <si>
    <t>Y (for some experiments)</t>
  </si>
  <si>
    <t>N* (they include classwise evaluations just not of wrist only)</t>
  </si>
  <si>
    <t>https://www.researchgate.net/publication/317180890_Step-by-step_introduction_to_acceleration_data_classification_using_deep_learning_methods</t>
  </si>
  <si>
    <t>On-Board Feature Extraction from Acceleration Data for Activity Recognition</t>
  </si>
  <si>
    <t>Atis Elsts</t>
  </si>
  <si>
    <t>https://dl.acm.org/doi/abs/10.5555/3234847.3234868</t>
  </si>
  <si>
    <t>SPHERE</t>
  </si>
  <si>
    <t>walking, standing, sitting, lying</t>
  </si>
  <si>
    <t>C for features</t>
  </si>
  <si>
    <t>"largely overlapping"</t>
  </si>
  <si>
    <t>Accelerometer Dense Trajectories for Activity Recognition and People Identification</t>
  </si>
  <si>
    <t>Roberto Leyva</t>
  </si>
  <si>
    <t>https://doi.org/10.1109/IWBF.2019.8739218</t>
  </si>
  <si>
    <t>DNN</t>
  </si>
  <si>
    <t>Mean Average Precision (MAP)</t>
  </si>
  <si>
    <t>Self-supervised learning for human activity recognition using 700,000 person-days of wearable data</t>
  </si>
  <si>
    <t>Hang Yuan</t>
  </si>
  <si>
    <t>10.1038/s41746-024-01062-3</t>
  </si>
  <si>
    <t>UK Biobank</t>
  </si>
  <si>
    <t xml:space="preserve">110k + </t>
  </si>
  <si>
    <t>RF and ResNet</t>
  </si>
  <si>
    <t>Accuracy, F1, Kappa</t>
  </si>
  <si>
    <t>Avoiding Bias in Classification Accuracy - A Case Study for Activity Recognition</t>
  </si>
  <si>
    <t>Heli Koskimäki</t>
  </si>
  <si>
    <t>https://doi.org/10.1109/SSCI.2015.52</t>
  </si>
  <si>
    <t>Unnamed Daily activities</t>
  </si>
  <si>
    <t>parametric linear discriminant analysis (LDA) quadratic discriminant analysis (QDA), C4.5 DT, KNN, SVM</t>
  </si>
  <si>
    <t>Table 2, 3, and 5</t>
  </si>
  <si>
    <t>Recognition of Human Behavior for Assisted Living Using Dictionary Learning Approach</t>
  </si>
  <si>
    <t>Pubali De</t>
  </si>
  <si>
    <t>https://doi.org/10.1109/JSEN.2017.2787616</t>
  </si>
  <si>
    <t>11 M, 5 W</t>
  </si>
  <si>
    <t>K-singular value decomposition (K-SVD) (theirs), SVM, KNN, SRC, CRC-RLS, competing  [12]</t>
  </si>
  <si>
    <t>Accuracy, TN, TP</t>
  </si>
  <si>
    <t>Table 1, 3</t>
  </si>
  <si>
    <t>Temporal-channel convolution with self-attention network for human activity recognition using wearable sensors</t>
  </si>
  <si>
    <t>Ehab Essa</t>
  </si>
  <si>
    <t>https://doi.org/10.1016/j.knosys.2023.110867</t>
  </si>
  <si>
    <t>LSTM, transformer, CSNET, TCCSNET</t>
  </si>
  <si>
    <t>TensorFlow/Keras</t>
  </si>
  <si>
    <t>Table 5</t>
  </si>
  <si>
    <t>Deep Learning Networks for Complex Activity Recognition Based on Wrist-Worn Sensor</t>
  </si>
  <si>
    <t>https://doi.org/10.1109/TENCON58879.2023.10322430</t>
  </si>
  <si>
    <t xml:space="preserve">Clean teeth, comb hair, rise from the bed, lie down on the bed, sit down on a chair, stand up from a chair, sip from a glass, dine with utensils, eat with spoon, pour water into a glass, make a telephone call, climb the stairs,descend the stairs, walk
</t>
  </si>
  <si>
    <t>CNN, LSTM, BiLSTM, GRU, BiGRU, CNN-BI-GRU</t>
  </si>
  <si>
    <t>Python, TF, Keras, Scikit learn, Numpy, and Pandas</t>
  </si>
  <si>
    <t>Smartwatch activity recognition feature comparison using ML.net</t>
  </si>
  <si>
    <t>Alexandru Alexan</t>
  </si>
  <si>
    <t>https://doi.org/10.1109/AQTR55203.2022.9801919</t>
  </si>
  <si>
    <t>WISDM</t>
  </si>
  <si>
    <t>LG W100 Smartwatch</t>
  </si>
  <si>
    <t>Eating Soup (H), Eating Chips (I), Eating Pasta (J), Eating Sandwich (L), Drinking from Cup (K), Standing (E), Sitting (D), Walking (A), Jogging (B), Stairs (C), Typing (F), Brushing Teeth (G), Kicking (Soccer Ball) (M), Playing Catch w/Tennis Ball (O), Dribbling (Basketball) (P), Writing (Q), Clapping (R), Folding Clothes (S)</t>
  </si>
  <si>
    <t>ML.net</t>
  </si>
  <si>
    <t xml:space="preserve">Table I, III, and IV </t>
  </si>
  <si>
    <t>IMU2Doppler: Cross-Modal Domain Adaptation for Doppler-based Activity Recognition Using IMU Data</t>
  </si>
  <si>
    <t>Sejal Bhalla</t>
  </si>
  <si>
    <t>https://doi.org/10.1145/3494994</t>
  </si>
  <si>
    <t>Catching, Clapping. Dribbling, drinking, folding clothes, jogging, eating pasta, eating soup, brushing teeth, walking</t>
  </si>
  <si>
    <t>CNN, LSTM, Bi-LSTM</t>
  </si>
  <si>
    <t>Keras</t>
  </si>
  <si>
    <t>A comprehensive evaluation of state-of-the-art time-series deep learning models for activity-recognition in post-stroke rehabilitation assessment</t>
  </si>
  <si>
    <t>Issam Boukhennoufa</t>
  </si>
  <si>
    <t>https://doi.org/10.1109/EMBC46164.2021.9630462</t>
  </si>
  <si>
    <t>FAST AI (Tsai)</t>
  </si>
  <si>
    <t>Personalized Activity Recognition with Deep Triplet Embeddings</t>
  </si>
  <si>
    <t>David Burns</t>
  </si>
  <si>
    <t>https://doi.org/10.3390/s22145222</t>
  </si>
  <si>
    <t>July</t>
  </si>
  <si>
    <t>Android smartwatch</t>
  </si>
  <si>
    <t>Keras, Seglearn, and Scikit-learn</t>
  </si>
  <si>
    <t>Y (for baseline algorithms)</t>
  </si>
  <si>
    <t xml:space="preserve">Accuracy </t>
  </si>
  <si>
    <t>https://github.com/dmbee/fcn-core</t>
  </si>
  <si>
    <t>Matched Filter Interpretation of CNN Classifiers with Application to HAR</t>
  </si>
  <si>
    <t>Mohammed M. Farag</t>
  </si>
  <si>
    <t>https://doi.org/10.3390/s22208060</t>
  </si>
  <si>
    <t xml:space="preserve">Walking, Upstairs, Downstairs, Sitting, Lying, Jogging </t>
  </si>
  <si>
    <t>MF CNN</t>
  </si>
  <si>
    <t>Keras/Tensorflow</t>
  </si>
  <si>
    <t>Deep Learning Approach for Complex Activity Recognition using Heterogeneous Sensors from Wearable Device</t>
  </si>
  <si>
    <t>Narit Hnoohom</t>
  </si>
  <si>
    <t>https://doi.org/10.1109/RI2C51727.2021.9559773</t>
  </si>
  <si>
    <t>Att-BiLSTM and BiLSTM</t>
  </si>
  <si>
    <t>TensorFlow, Numpy, Pandas, and Scikit-Learn libraries</t>
  </si>
  <si>
    <t>Multiple tested</t>
  </si>
  <si>
    <t>Smart-Wearable Sensors and CNN-BiGRU Model: A Powerful Combination for Human Activity Recognition</t>
  </si>
  <si>
    <t>Hazma Ali Imran</t>
  </si>
  <si>
    <t>https://doi.org/10.1109/JSEN.2023.3338264</t>
  </si>
  <si>
    <t>"HARDenseRNN" Deep RNN (with CNNs)</t>
  </si>
  <si>
    <t xml:space="preserve">experimented with 64, 128, and 256 samples </t>
  </si>
  <si>
    <t>16, 32, 64 and 128-step overlap</t>
  </si>
  <si>
    <t xml:space="preserve">Accuracy, F1, Precision, Recall, Sensitivity </t>
  </si>
  <si>
    <t>Deep Neural Networks for Time Series Classification in Human Activity Recognition</t>
  </si>
  <si>
    <t>Shreehar Joshi</t>
  </si>
  <si>
    <t>https://doi.org/10.1109/IEMCON53756.2021.9623228</t>
  </si>
  <si>
    <t>BiLSTM, CNN-LSTM, ConvLSTM, and CNN</t>
  </si>
  <si>
    <t>keras and sklearn</t>
  </si>
  <si>
    <t>RNN-based deep learning for physical activity recognition using smartwatch sensors: A case study of simple and complex activity recognition</t>
  </si>
  <si>
    <t>Sakron Mekruksavanich</t>
  </si>
  <si>
    <t>10.3934/mbe.2022265</t>
  </si>
  <si>
    <t>LG G Watch</t>
  </si>
  <si>
    <t>CNN, LSTM, BiLSTM, GRU, BiGRU, Att-BiGRU</t>
  </si>
  <si>
    <t>Described in 4.1</t>
  </si>
  <si>
    <t>0 or 50</t>
  </si>
  <si>
    <t>Table 2 and 3</t>
  </si>
  <si>
    <t>Evaluation of Smartphone and Smartwatch Accelerometer Data in Activity Classification</t>
  </si>
  <si>
    <t>Nguyen Canh Minh</t>
  </si>
  <si>
    <t>https://doi.org/10.1109/NICS54270.2021.9701528</t>
  </si>
  <si>
    <t xml:space="preserve">LG G watch (with Android wear 1.5 OS) </t>
  </si>
  <si>
    <t>GBDT (gradient boosted decision tree), SVM, RF, and KNN. 
Model 1 = 4 acts (no stairs), model 2 = all acts</t>
  </si>
  <si>
    <t>"In this research, five features (mean, median, standard
deviation, root mean square, and range) would be extracted of
3-axis acceleration X, Y, and Z on each data. "</t>
  </si>
  <si>
    <t xml:space="preserve">Accuracy, Sensititvity, Specificity </t>
  </si>
  <si>
    <t>On-Device Semi-Supervised Activity Detection: A New Privacy-Aware Personalized Health Monitoring Approach</t>
  </si>
  <si>
    <t>Avirup Roy</t>
  </si>
  <si>
    <t>https://doi.org/10.3390/s24144444</t>
  </si>
  <si>
    <t>sedentary, moderately active, active</t>
  </si>
  <si>
    <t>SSL model</t>
  </si>
  <si>
    <t xml:space="preserve">Accuracy, TP, FP </t>
  </si>
  <si>
    <t>Are Gyroscopes an Added Value in Leave-One-Subject-Out Activity Recognition with IMUs?</t>
  </si>
  <si>
    <t>Meng Shang</t>
  </si>
  <si>
    <t>https://doi.org/10.1109/EMBC48229.2022.9871845</t>
  </si>
  <si>
    <t>non-hand orientted, hand oriented (eating), hand oriented (general)</t>
  </si>
  <si>
    <t>MLP, SVM (with rbf), KNN, DT</t>
  </si>
  <si>
    <t>Mobile sensor based human activity recognition: distinguishing of challenging activities by applying long short-term memory deep learning modified by residual network concept</t>
  </si>
  <si>
    <t>Seyed Vahab Shojaedini</t>
  </si>
  <si>
    <t>10.1007/s13534-020-00160-x</t>
  </si>
  <si>
    <t xml:space="preserve">walking, jogging, stairs, standing, sitting, eating soup, eating sandwhich, eating chips </t>
  </si>
  <si>
    <t>CNN, ConvLSTM, and ConvLSTM+ResNet</t>
  </si>
  <si>
    <t>TF</t>
  </si>
  <si>
    <t>"a window length of 90" (90 s or 4.5 s)</t>
  </si>
  <si>
    <t>Tables 4, 6, 8</t>
  </si>
  <si>
    <t>A Hybrid Solution for Human Activity Recognition: Application to Wrist-Worn Accelerometry</t>
  </si>
  <si>
    <t>Manuel Abbas</t>
  </si>
  <si>
    <t>https://doi.org/10.1109/ICABME47164.2019.8940233</t>
  </si>
  <si>
    <t>LSM9DS1 by STMicroelectronics</t>
  </si>
  <si>
    <t>sitting, standing, walking, jogging, stairs</t>
  </si>
  <si>
    <t>activities derived from (1) walking towards a chair then sitting down, (2) sitting-down after being inactive for a while, (3) standing-up and staying inactive for a while, (4) standing-up then starting walking immediately.</t>
  </si>
  <si>
    <t>Linear and quadratic SVM, Random Forest, Artificial Neural Network (ANN) with one hidden layer of 10 neurons (shallow learning) and k-NN (k=5).</t>
  </si>
  <si>
    <t>Characterizing Peaks in Acceleration Signals–Application to Physical Activity Detection Using Wearable Sensors</t>
  </si>
  <si>
    <t>https://doi.org/10.1109/JSEN.2020.3000394</t>
  </si>
  <si>
    <t>LSDM9DS1</t>
  </si>
  <si>
    <t>C-1, C-2, C-3, C-4</t>
  </si>
  <si>
    <t>clapping hands (C-1), waving goodbye, shaking hands (C-2), walking slowly/quickly, going upstairs then downstairs (C-3) and jogging (C-4)</t>
  </si>
  <si>
    <t xml:space="preserve">RF, CNN, their solution (DT + SVM) </t>
  </si>
  <si>
    <t>10-fold and LOSO CV</t>
  </si>
  <si>
    <t>Machine learning algorithms for activity recognition in ambulant children and adolescents with cerebral palsy</t>
  </si>
  <si>
    <t>Matthew N Ahmadi</t>
  </si>
  <si>
    <t>10.1186/s12984-018-0456-x</t>
  </si>
  <si>
    <t xml:space="preserve">SC </t>
  </si>
  <si>
    <t>NF</t>
  </si>
  <si>
    <t>Sed, SUM, brisk walk, comfortable walk</t>
  </si>
  <si>
    <t>sedentary (SED) (supine rest, seated handwriting); standing utilitarian movements (SUM) (wiping down countertop, folding laundry); comfortable walking (CW) (comfortable walk); and brisk walking (BW) (brisk walk and fast walk).</t>
  </si>
  <si>
    <t>BDT, RF, SVM</t>
  </si>
  <si>
    <t>Free-living Evaluation of Laboratory-based Activity Classifiers in Preschoolers</t>
  </si>
  <si>
    <t>10.1249/MSS.0000000000002221</t>
  </si>
  <si>
    <t xml:space="preserve">May </t>
  </si>
  <si>
    <t>Actigraph GT3X+</t>
  </si>
  <si>
    <t>5 (from 22)</t>
  </si>
  <si>
    <t>sedentary, light activity and games, mod-vigorous activity + games, walk, run</t>
  </si>
  <si>
    <t>RF, SVM</t>
  </si>
  <si>
    <t>Machine Learning to Quantify Physical Activity in Children with Cerebral Palsy: Comparison of Group, Group-Personalized, and Fully-Personalized Activity Classification Models</t>
  </si>
  <si>
    <t>Matthew N. Ahmadi</t>
  </si>
  <si>
    <t>https://doi.org/10.3390/s20143976</t>
  </si>
  <si>
    <t>(1) Supine rest (lying down and resting, but not sleeping); (2) sitting while continuously writing or coloring in a picture;  (3) active video game (playing an interactive video game designed specifically for children with CP);  (4) comfortable-paced walk in a 25 m course (walking at a pace with the instructions “walk like when you are at the mall or walking in your neighborhood or at school, but you are not in a hurry.”); and  (5) brisk-paced walk in a 25 m course (walking at a pace with the instructions “walk at a fast pace like when you are hurrying to get to class after the bell has rung or you are hurrying to cross the street”)</t>
  </si>
  <si>
    <t>Machine Learning Models for Classifying Physical Activity in Free-Living Preschool Children</t>
  </si>
  <si>
    <t xml:space="preserve"> Matthew N. Ahmadi</t>
  </si>
  <si>
    <t>https://doi.org/10.3390/s20164364</t>
  </si>
  <si>
    <t xml:space="preserve">Aug. </t>
  </si>
  <si>
    <t>"R software"</t>
  </si>
  <si>
    <t>1, 5, 10, 15</t>
  </si>
  <si>
    <t xml:space="preserve">https://github.com/QUTcparg/PS_PAClassification </t>
  </si>
  <si>
    <t>Activity classification for real-time wearable systems: Effect of window length, sampling frequency and number of features on classifier performance</t>
  </si>
  <si>
    <t>Ardo Allik</t>
  </si>
  <si>
    <t>https://doi.org/10.1109/IECBES.2016.7843493</t>
  </si>
  <si>
    <t>Shimmer3</t>
  </si>
  <si>
    <t>Static, low intensity, moderate intensity, rythmical intensity, walking, running, indoor cycling, outdoor cycling, climbing stairs, declining stairs.</t>
  </si>
  <si>
    <t>1. Static: Lying, sitting, standing 
2. Low Intensity: Typing on computer 
3. Moderate Intensity: Folding clothes 
4. Rhythmical Intensity: Cleaning surface using a towel 
5. Walking:Walking in a corridor, walking on a treadmill 
6. Running: Running in a corridor, running on a treadmill 
7. Indoor Cycling: Cycling on a veloergometer 
8. Outdoor Cycling: Cycling outdoors on different terrains 
9. Climbing Stairs: Walking upstairs 
10. Declining Stairs: Walking downstairs</t>
  </si>
  <si>
    <t>L</t>
  </si>
  <si>
    <t>DT</t>
  </si>
  <si>
    <t>MATLAB fitctree</t>
  </si>
  <si>
    <t>1, 3, 5</t>
  </si>
  <si>
    <t xml:space="preserve">Sensitivity </t>
  </si>
  <si>
    <t>Estimating Energy Expenditure Using Body-Worn Accelerometers: A Comparison of Methods, Sensors Number and Positioning</t>
  </si>
  <si>
    <t>Marco Altini</t>
  </si>
  <si>
    <t>https://doi.org/10.1109/JBHI.2014.2313039</t>
  </si>
  <si>
    <t>ADXL330</t>
  </si>
  <si>
    <t>Lying (lying down resting), sitting (sitting resting, desk work, reading, writing, working on a PC, watching TV), and standing (standing resting, standing cooking) postures in our sedentary clusters. Active clusters were four, one representative of household activities, namely the high whole body motion (HWBM) cluster (stacking groceries, washing dishes, folding clothes, cleaning and scrubbing, washing windows, sweeping, vacuuming) and three representatives of locomotion and active transportation, such as walking, (self-paced, self-paced carrying books, treadmill flat: 3, 4, 5, 6 km/h, incline: 3, 5km/h, 5, 10%), biking (cycle ergometer, low, medium, and high resistance level at 60 and 80 r/min), and running (7, 8, 9, 10 km/h on a treadmill)</t>
  </si>
  <si>
    <t>Sensor Placement for Activity Detection Using Wearable Accelerometers</t>
  </si>
  <si>
    <t>Louis Atallah</t>
  </si>
  <si>
    <t>https://doi.org/10.1109/BSN.2010.23</t>
  </si>
  <si>
    <t>very low level, low level, medium level, high level, transitional</t>
  </si>
  <si>
    <t>KNN, bayesian + gaussian</t>
  </si>
  <si>
    <t>Precision, Recall</t>
  </si>
  <si>
    <t>Sensor positioning for activity recognition using wearable accelerometers</t>
  </si>
  <si>
    <t>10.1109/TBCAS.2011.2160540</t>
  </si>
  <si>
    <t xml:space="preserve">Aug </t>
  </si>
  <si>
    <t>ADCL 330</t>
  </si>
  <si>
    <t>KNN</t>
  </si>
  <si>
    <t xml:space="preserve"> </t>
  </si>
  <si>
    <t>Low sampling rate for physical activity recognition</t>
  </si>
  <si>
    <t>Gerald Bieber</t>
  </si>
  <si>
    <t>https://doi.org/10.1145/2674396.2674446</t>
  </si>
  <si>
    <t>MetaWatch</t>
  </si>
  <si>
    <t>walking, running, cycling, resting/office work/active, sleeping</t>
  </si>
  <si>
    <t>Work definition of sitting in front of a computer and do some writing or drinking coffee. Walking (outdoor and treadmill) and running (outdoor and on a treadmill), cycling (outdoor)</t>
  </si>
  <si>
    <t>Sony Smartwatch</t>
  </si>
  <si>
    <t>walking, running, cycling, office work/resting/active, sleep</t>
  </si>
  <si>
    <t>Activity detection and classification from wristband accelerometer data collected on people with type 1 diabetes in free-living conditions</t>
  </si>
  <si>
    <t xml:space="preserve">Marzia Cescon </t>
  </si>
  <si>
    <t>https://doi.org/10.1016/j.compbiomed.2021.104633</t>
  </si>
  <si>
    <t xml:space="preserve">Empatica E4 </t>
  </si>
  <si>
    <t>Depends on Subj.</t>
  </si>
  <si>
    <t>LSTM, MLP, SVM, RF, kNN, NB, LR</t>
  </si>
  <si>
    <t>Keras, and scikit</t>
  </si>
  <si>
    <t xml:space="preserve">RF / Threshold (Energy expenditure) </t>
  </si>
  <si>
    <t>Optimal Placement of Accelerometers for the Detection of Everyday Activities</t>
  </si>
  <si>
    <t>Ian Cleland</t>
  </si>
  <si>
    <t>https://doi.org/10.3390/s130709183</t>
  </si>
  <si>
    <t>walking, jogging on a motorized treadmill, sitting, lying, standing and walking up and down stairs</t>
  </si>
  <si>
    <t>J48 (decision tree), NB, NN (MLP), and SVM</t>
  </si>
  <si>
    <t>Comparing Supervised Learning Techniques on the Task of Physical Activity Recognition</t>
  </si>
  <si>
    <t>Anthony Dalton</t>
  </si>
  <si>
    <t>https://doi.org/10.1109/TITB.2012.2223823</t>
  </si>
  <si>
    <t>Jan</t>
  </si>
  <si>
    <t>C4.5, NB, BayesNet, IB1, IBK, KStar, JRip, SVM, MLP, AdaBoost, AdaBoostM1, Bagging,MultiBoost, Vote (Table IV)</t>
  </si>
  <si>
    <t>MATLAB and WEKA</t>
  </si>
  <si>
    <t>Kappa</t>
  </si>
  <si>
    <t>Accuracy of Samsung Gear S Smartwatch for Activity Recognition: Validation Study</t>
  </si>
  <si>
    <t>Anis Davoudi</t>
  </si>
  <si>
    <t>10.2196/11270</t>
  </si>
  <si>
    <t>computer work, ironing, yoga, shopping, laundry, washing windows, home maintence, replacing bed sheet, mopping, trash removal, heavy lifting, leisure walk, rapid walk, walk @ 1 RPE, walk @ 5 RPE</t>
  </si>
  <si>
    <t>DT, RF, SVM, NN</t>
  </si>
  <si>
    <t xml:space="preserve">Variable (1, 2, 4, 8, 15, 16). Most results are given for 16 s </t>
  </si>
  <si>
    <t>The Effect of Sensor Placement and Number on Physical Activity Recognition and Energy Expenditure Estimation in Older Adults: Validation Study</t>
  </si>
  <si>
    <t>10.2196/23681</t>
  </si>
  <si>
    <t>ActiGraph GT3X</t>
  </si>
  <si>
    <t>vacuuming, computer work, home maintence, washing windows, heavy lifting, replacing bed sheets, ironing, stretching/yoga, trash removal, mopping, sweeping, stair descent, stair ascent, yard work, standing still, preparing and serving a meal, washing dishes, straightening up/dusting, dressing, tv watching, strength exercise, lying, light gardening, shopping, personal care, diggling, unloading and storing dishes, laundry, leisure walk, rapid walk, walking @ 1rpe, walking @5rpe</t>
  </si>
  <si>
    <t>Regression RF</t>
  </si>
  <si>
    <t>NEAT Activity Detection using Smartwatch at Low Sampling Frequency</t>
  </si>
  <si>
    <t>Ankita Dewan</t>
  </si>
  <si>
    <t>https://doi.org/10.1109/SWC50871.2021.00014</t>
  </si>
  <si>
    <t>1, 5, and 10</t>
  </si>
  <si>
    <t>Fossil Sportswatch running Android OS</t>
  </si>
  <si>
    <t xml:space="preserve">Cooking, sweeping, wet mopping, walking, climb up/down, non-neat activities </t>
  </si>
  <si>
    <t>Python (sklearn for basic models)</t>
  </si>
  <si>
    <t xml:space="preserve">2, 4, 6 </t>
  </si>
  <si>
    <t xml:space="preserve">0 - 1/2 (s) </t>
  </si>
  <si>
    <t>Free-living Ambulatory Activity Classification: A Comparative Analysis of Wrist-worn, Insole-embedded, and Phone-embedded Sensors</t>
  </si>
  <si>
    <t>Ton T. H. Duong</t>
  </si>
  <si>
    <t>https://doi.org/10.1109/BioRob52689.2022.9925432</t>
  </si>
  <si>
    <t>Actigraph GT9X Link</t>
  </si>
  <si>
    <t>Kernel-based (RBF) SVM</t>
  </si>
  <si>
    <t>Accuracy, Precision, Recall, WF1</t>
  </si>
  <si>
    <t>Identifying Free-Living Physical Activities Using Lab-Based Models with Wearable Accelerometers</t>
  </si>
  <si>
    <t>Arindam Dutta</t>
  </si>
  <si>
    <t>https://doi.org/10.3390/s18113893</t>
  </si>
  <si>
    <t>GENEActiv accelerometer</t>
  </si>
  <si>
    <t>24 (classed into 21 acts for GMM or 17 for HMM)</t>
  </si>
  <si>
    <t xml:space="preserve">Seated, folding/stacking laundry; stadning/fidgeting with hands while talking; 1 minute brushing teeth + 1 minute brushing har; drivign a car; tradmill at 1 mph; treadmill at 2 mph; treadmill at 3 mph; treadmill at 3 mph, 5% grade; treadmill at 4 mph, hard surface walking, hard surface, while carrying 8 lb object; hard surface holding filled coffee cup; caprtet with high heels or dress shoes; grass barefoot; uneven fte; uphill with highheels or dress shoes, 5% grade; downhill with high heels or dress shoes, 5% grade; tradmill at 5mph; treadmill at 6mph; treadmill at 6mph, 5% grade; walking upstairs (5 floors); walking down stairs (5 floors)
</t>
  </si>
  <si>
    <t xml:space="preserve">GMM and HMM </t>
  </si>
  <si>
    <t>Activity classification using a single wrist-worn accelerometer</t>
  </si>
  <si>
    <t>Saisakul Chernbumroong</t>
  </si>
  <si>
    <t>https://doi.org/10.1109/SKIMA.2011.6089975</t>
  </si>
  <si>
    <t>eZ430-Chronos</t>
  </si>
  <si>
    <t>Sitting, Standing, Lying, Walking, Running</t>
  </si>
  <si>
    <t>DT (C4.5) and ANN</t>
  </si>
  <si>
    <t>WEKA (DT)</t>
  </si>
  <si>
    <t>5-fold CV (10 runs)</t>
  </si>
  <si>
    <t>Temporal Alignment Improves Feature Quality: An Experiment on Activity Recognition with Accelerometer Data</t>
  </si>
  <si>
    <t>Hongjun Choi</t>
  </si>
  <si>
    <t>https://doi.org/10.1109/CVPRW.2018.00075</t>
  </si>
  <si>
    <t>GENEActiv sensor</t>
  </si>
  <si>
    <t>18-64 yo</t>
  </si>
  <si>
    <t>Libsvm toolbox</t>
  </si>
  <si>
    <t>Varies: 50 samples - 1000 samples</t>
  </si>
  <si>
    <t>A Comparative Study on Fitness Activity Recognition</t>
  </si>
  <si>
    <t>Igor Lopes de Faria</t>
  </si>
  <si>
    <t>https://doi.org/10.1145/3243082.3267452</t>
  </si>
  <si>
    <t xml:space="preserve"> walking and running on the tread-
mill and the dumbbell biceps curl</t>
  </si>
  <si>
    <t>KNN, j48, NB, SVM, MLP</t>
  </si>
  <si>
    <t>Improving Activity Recognition while Reducing Misclassification of Unknown Activities</t>
  </si>
  <si>
    <t>Andrea Fasciglione</t>
  </si>
  <si>
    <t>https://doi.org/10.1109/WETICE53228.2021.00039</t>
  </si>
  <si>
    <t xml:space="preserve">N/A (Features are extracted from 2s windows with 95% overlap but results are discussed from 5s windows (50 samples). They also investigated multiple window sizes to remove outliers). </t>
  </si>
  <si>
    <t>Capturing accelerometer outputs in healthy volunteers under normal and simulated-pathological conditions using ML classifiers</t>
  </si>
  <si>
    <t>V. Filippou</t>
  </si>
  <si>
    <t>https://doi.org/10.1109/EMBC44109.2020.9176201</t>
  </si>
  <si>
    <t>MOX</t>
  </si>
  <si>
    <t>lie down, sit, stand, stand-to-sit, slow walk, normal walk, fast walk, walk upstairs, walk downstairs.</t>
  </si>
  <si>
    <t>NN, RF, SVM, KNN, and NB
3 experimental situtations: 
1. healthy and tested on health (h/H)
2. trained on pathological and evaluated on pathological (S/S)
3. trained on healthy and evaled on simulated pathological (H/S)</t>
  </si>
  <si>
    <t>Python</t>
  </si>
  <si>
    <t xml:space="preserve"> static, dynamic, transition</t>
  </si>
  <si>
    <t>Identifying physical activity type in manual wheelchair users with spinal cord injury by means of accelerometers</t>
  </si>
  <si>
    <t>X Garcia-Masso</t>
  </si>
  <si>
    <t>10.1038/sc.2015.81</t>
  </si>
  <si>
    <t>LDA, QDA, SVM</t>
  </si>
  <si>
    <t>Matplot (features)</t>
  </si>
  <si>
    <t xml:space="preserve">Table 3 and 4 </t>
  </si>
  <si>
    <t>A computing-efficient algorithm for accelerometer-based real-time activityrecognition systems</t>
  </si>
  <si>
    <t>Pejman Ghorbanzade</t>
  </si>
  <si>
    <t>https://doi.org/10.4108/icst.bodynets.2013.253623</t>
  </si>
  <si>
    <t>Clustering</t>
  </si>
  <si>
    <t>Exp 1: 15, Exp 2: 0 - 30</t>
  </si>
  <si>
    <t>Investigation of Heterogeneity Sources for Occupational Task Recognition via Transfer Learning</t>
  </si>
  <si>
    <t>Sahand Hajifar</t>
  </si>
  <si>
    <t>https://doi.org/10.3390/s21196677</t>
  </si>
  <si>
    <t xml:space="preserve">Empatica E4 and Maxim wristband </t>
  </si>
  <si>
    <t>EP: electrical panel, H: hoisting, Ld: ladder, Lf: lifting; OH: overhead; P: pushing; St: sitting; Sd: standing; Tp: typing; W: walking</t>
  </si>
  <si>
    <t>Accuracy,  F1, Rank of domain</t>
  </si>
  <si>
    <t>Table 3, 4, 6</t>
  </si>
  <si>
    <t>https://github.com/sahand-hajifar/Occupational-Task-Recognition-via-Domain-Adaptation</t>
  </si>
  <si>
    <t>A Data-Driven Study on the Hawthorne Effect in Sensor-Based Human ActivityRecognition</t>
  </si>
  <si>
    <t>https://doi.org/10.1145/3594739.3610743</t>
  </si>
  <si>
    <t>https://github.com/mariusbock/hawthorne_har</t>
  </si>
  <si>
    <t>Bangle.js Version 1</t>
  </si>
  <si>
    <t>jumping, walking, jogging_in_place, sit_ups, and jumping_jacks,</t>
  </si>
  <si>
    <t>DeepConvLSTM</t>
  </si>
  <si>
    <t>Activity Recognition with Wristband Based on Histogram and Bayesian Classifiers</t>
  </si>
  <si>
    <t>Yi-Cong Huang</t>
  </si>
  <si>
    <t>https://doi.org/10.1109/SIPROCESS.2019.8868412</t>
  </si>
  <si>
    <t>walking, office working, eating, sporting and resting</t>
  </si>
  <si>
    <t xml:space="preserve">Historgram with Bayesian classifier </t>
  </si>
  <si>
    <t>20 s increment taken from 1 m, split into 4s windows for feautre extraction</t>
  </si>
  <si>
    <t>Table 1, 2, 3</t>
  </si>
  <si>
    <t>Evaluating sensor placement and modality for activity recognition inactive games</t>
  </si>
  <si>
    <t>Natalie Jablonsky</t>
  </si>
  <si>
    <t>https://doi.org/10.1145/3014812.3014875</t>
  </si>
  <si>
    <t>LG Nexus 4</t>
  </si>
  <si>
    <t>J48 (C4.5 DT)</t>
  </si>
  <si>
    <t>Development of a portable activity detector for daily activity recognition</t>
  </si>
  <si>
    <t>Tzu-Ping Kao</t>
  </si>
  <si>
    <t>https://doi.org/10.1109/ISIE.2009.5222001</t>
  </si>
  <si>
    <t>MMA7260Q</t>
  </si>
  <si>
    <t>24 yo, 1F, 3M</t>
  </si>
  <si>
    <t>bushing teeth, hitting, knocking, working at a pc, running, swinging, walking</t>
  </si>
  <si>
    <t>Fuzzy basis classifier with LDA</t>
  </si>
  <si>
    <t>C via GSL</t>
  </si>
  <si>
    <t>Analyzing Body Movements within the Laban Effort Framework Using a Single Accelerometer</t>
  </si>
  <si>
    <t>Basel Kikhia</t>
  </si>
  <si>
    <t>https://doi.org/10.3390/s140305725</t>
  </si>
  <si>
    <t>sudden, sustained, strong, light, free, bound</t>
  </si>
  <si>
    <t>NB, C4.5 DT, Logistic Regression, SVM, KNN, RF, Boosting, Bagging</t>
  </si>
  <si>
    <t>A general framework for sensor-based human activity recognition</t>
  </si>
  <si>
    <t>Lukas Köping</t>
  </si>
  <si>
    <t>https://doi.org/10.1016/j.compbiomed.2017.12.025</t>
  </si>
  <si>
    <t>Microdoft Band 2</t>
  </si>
  <si>
    <t>SVM (RBF kernel)</t>
  </si>
  <si>
    <t>ExerSense: Physical Exercise Recognition and Counting Algorithm from Wearables Robust to Positioning</t>
  </si>
  <si>
    <t>Shuh Ishii</t>
  </si>
  <si>
    <t>10.3390/s21010091</t>
  </si>
  <si>
    <t>running, walking, jumpting, push-ups, sit-ups</t>
  </si>
  <si>
    <t>A Deep Learning-Based Semantic Segmentation Model Using MCNN and Attention Layer for Human Activity Recognition</t>
  </si>
  <si>
    <t>Sang-hyub Lee</t>
  </si>
  <si>
    <t>https://doi.org/10.3390/s23042278</t>
  </si>
  <si>
    <t>LIS2DS12TR, STMicroelectronics</t>
  </si>
  <si>
    <t>get-up, laying stand-up, picking, sitting, walking, walking-picking, walking-sitting, stand-up-walking, sitting-laying, get-up-stand-up, picking-walking,get-up-laying, laying-get-up, stand-up,=picking, stand-up-sitting, picking-sitting, sitting-stand-up</t>
  </si>
  <si>
    <t xml:space="preserve">Combinataions of GRU, RNN, LSTM, CNN, proposed model is MCNN with attention (16 evaluated in total) </t>
  </si>
  <si>
    <t>.6, 1.3, and 2.6 s (10, 20, and 40 samples)</t>
  </si>
  <si>
    <t>Transfer Learning Improves Accelerometer-Based Child Activity Recognition via Subject-Independent Adult-Domain Adaption</t>
  </si>
  <si>
    <t>Jinxuan Li</t>
  </si>
  <si>
    <t>https://doi.org/10.1109/jbhi.2021.3118717</t>
  </si>
  <si>
    <t>40 (20 adults, 20 kids)</t>
  </si>
  <si>
    <t>walking, running, sitting, rope skipping</t>
  </si>
  <si>
    <t>KNN, SVM, RF</t>
  </si>
  <si>
    <t>Accuracy, F1, Sensititvity, Specificity</t>
  </si>
  <si>
    <t>Human Activity Recognition in Free Living Using a Wearable Sensor: A Two-Stage Approach</t>
  </si>
  <si>
    <t>Tianhui Li</t>
  </si>
  <si>
    <t>https://doi.org/10.1109/iCAST57874.2023.10359305</t>
  </si>
  <si>
    <t>desk working, driving, walking, downstairs, upstairs</t>
  </si>
  <si>
    <t xml:space="preserve">Scikit learn </t>
  </si>
  <si>
    <t>Accuracy, Sensitivity, Specificity</t>
  </si>
  <si>
    <t>Human activity recognition based on triaxial accelerometer using multi-feature weighted ensemble</t>
  </si>
  <si>
    <t>QingNan Li</t>
  </si>
  <si>
    <t>https://doi.org/10.1109/INDIN45582.2020.9442172</t>
  </si>
  <si>
    <t>shaking hands, waving hand, lying, walking, picking things up, bending over to pick things up, sit-down-stand-up, and open-close door</t>
  </si>
  <si>
    <t>KNN, attention LSTM, 1D CNN, ensemble method (theirs), CNN-LSTM</t>
  </si>
  <si>
    <t>Age Differences in Estimating Physical Activity by Wrist Accelerometry Using Machine Learning</t>
  </si>
  <si>
    <t>Mamoun T. Mardini</t>
  </si>
  <si>
    <t>https://doi.org/10.3390/s21103352</t>
  </si>
  <si>
    <t>ChoresXL (SC)</t>
  </si>
  <si>
    <t>ActiGraph GT3X-BT</t>
  </si>
  <si>
    <t xml:space="preserve">Leisure Walk, Rapid Walk, Light Gardening, Yard Work, Prepare Serve Meal, Digging, Straightening Up Dusting, Washing Dishes, Unloading Storing Dishes, Walk at RPE 1, Personal Care, Dressing, Walk at RPE 5, Sweeping, Vacuuming, Stiar Descent, Stair Ascent, Trash Remoal, Replacign Sheets on a Bed, Stretching Yoga, Mopping, Light Home Maintenance, Computer Work, Heavy Lifting, Shpping, Ironing, Laundry Washing, Stength Exercise Leg Curl, Strength Exercise Chest Press, Strength Exercise Leg Extension, TV Watching, Standing Still, Washing Windows. </t>
  </si>
  <si>
    <t>DT, RF, XGBoost, and LASSO. Classification tasks included PA type, sedentary vs not, locomotion vs not, and PA levels across 3 age groups (20-50, 50-70, 70+)</t>
  </si>
  <si>
    <t>Accuracy, AUC, Balanced Accuracy, F1</t>
  </si>
  <si>
    <t>User-Independent Recognition of Sports Activities From a Single Wrist-Worn Accelerometer: A Template-Matching-Based Approach</t>
  </si>
  <si>
    <t>Jenny Margarito</t>
  </si>
  <si>
    <t>https://doi.org/10.1109/TBME.2015.2471094</t>
  </si>
  <si>
    <t>Philips DirectLife, Philips Consumer Lifestyle, Amsterdam, The Netherlands</t>
  </si>
  <si>
    <t xml:space="preserve">cycling, cross trainer, rowing, running, squatting, stepping, walking, weight lifitng </t>
  </si>
  <si>
    <t>Euclidean, DTW, DDTW, RCE, DT, NB, LR, ANN</t>
  </si>
  <si>
    <t>An Activity Recognition Framework Deploying the Random Forest Classifier and A Single Optical Heart Rate Monitoring and Triaxial Accelerometer Wrist-Band</t>
  </si>
  <si>
    <t>Saeed Mehrang</t>
  </si>
  <si>
    <t>https://doi.org/10.3390/s18020613</t>
  </si>
  <si>
    <t>pulseOn CLOUD</t>
  </si>
  <si>
    <t>25 (5 excluded)</t>
  </si>
  <si>
    <t>Sitting, Standing, Household activities, Stationary Cycling (high intensity), Stationary Cycling (low Intensity)</t>
  </si>
  <si>
    <t>R for preporcess, and Sklearn</t>
  </si>
  <si>
    <t>1 to 21</t>
  </si>
  <si>
    <t>Design and assessment of the data analysis process for a wrist-worn smart object to detect atomic activities in the smart home</t>
  </si>
  <si>
    <t xml:space="preserve">Qin Ni </t>
  </si>
  <si>
    <t>https://doi.org/10.1016/j.pmcj.2019.03.006</t>
  </si>
  <si>
    <t>RF, KNN, J48, MLP, NB, SVM</t>
  </si>
  <si>
    <t>WEKA + MATLAB</t>
  </si>
  <si>
    <t>256 (samples, no reported s)</t>
  </si>
  <si>
    <t>Accuracy, F1, MAE, ROC, Sensitivitiy, Specificity</t>
  </si>
  <si>
    <t>Table 5, 7, 8</t>
  </si>
  <si>
    <t>Sensor-Based Human Activity Recognition for Elderly In-patients with a Luong Self-Attention Network</t>
  </si>
  <si>
    <t>G R Nithin</t>
  </si>
  <si>
    <t>https://doi.org/10.1109/CHASE52844.2021.00019</t>
  </si>
  <si>
    <t>lying, siting, standing, walking</t>
  </si>
  <si>
    <t>Task learning model (PTM) and a triplet multitask learning model (T-MTL) (Conv-LSTM with self attention)</t>
  </si>
  <si>
    <t>Keras/TensorFlow</t>
  </si>
  <si>
    <t>Analysis of Optimal Sensor Positions for Activity Classification and Application on a Different Data Collection Scenario</t>
  </si>
  <si>
    <t>Natthapon Pannurat</t>
  </si>
  <si>
    <t>https://doi.org/10.3390/s17040774</t>
  </si>
  <si>
    <t>e-Ar sensor (Nordic nRF24LU1P
processor with an IEEE 802.15.4 (2.4 GHz))</t>
  </si>
  <si>
    <t xml:space="preserve"> (a) sitting on a chair, (b) supine, (c) lying on the left side, (d) prone, (e) lying on the right side, (f) stand, (g) walking</t>
  </si>
  <si>
    <t xml:space="preserve">Bayesian network, NB, J48 DT, C4.5 DT, KNN, MLP, SVM </t>
  </si>
  <si>
    <t>6-fold CV</t>
  </si>
  <si>
    <t>Table 3 and 5</t>
  </si>
  <si>
    <t>Classifying tasks performed by electrical line workers using a wrist-worn sensor: A data analytic approach</t>
  </si>
  <si>
    <t>Saeb Ragani Lamooki</t>
  </si>
  <si>
    <t>10.1371/journal.pone.0261765</t>
  </si>
  <si>
    <t xml:space="preserve">Dec </t>
  </si>
  <si>
    <t>https://github.com/saebragani/Activity-Recognition</t>
  </si>
  <si>
    <t xml:space="preserve">sit, stand, walk, hoise, lift + lower a box, push a cart, ascens + descent a ladder, type on a computer, work at electrical panel, overhead screw. </t>
  </si>
  <si>
    <t>SNN, SVM, RF</t>
  </si>
  <si>
    <t>4 and 10</t>
  </si>
  <si>
    <t>Tables 4 and 5</t>
  </si>
  <si>
    <t>A Combination of Indoor Localization and Wearable Sensor-Based Physical Activity Recognition to Assess Older Patients Undergoing Subacute Rehabilitation: Baseline Study Results</t>
  </si>
  <si>
    <t>Ramin Ramezani</t>
  </si>
  <si>
    <t>10.2196/14090</t>
  </si>
  <si>
    <t>Sony SmartWatch 3</t>
  </si>
  <si>
    <t>2 or 4</t>
  </si>
  <si>
    <t>2: walking and stationary, 4: stand, sit, lay, and walk</t>
  </si>
  <si>
    <t>Random Forest</t>
  </si>
  <si>
    <t>Python Programming Language libraries Pandas (version 0.21.0) and Numpy (version 1.14.5), Scipy (version 1.0.0), and Scikit-learn (version 0.19.1) </t>
  </si>
  <si>
    <t>Table 1 and 2</t>
  </si>
  <si>
    <t>SolAR: Energy Positive Human Activity Recognition using Solar Cells</t>
  </si>
  <si>
    <t>Muhammad Moid Sandhu</t>
  </si>
  <si>
    <t>https://doi.org/10.1109/PERCOM50583.2021.9439128</t>
  </si>
  <si>
    <t>InvenSense MPU9250</t>
  </si>
  <si>
    <t>21 (indoors (13), outdoors (8))</t>
  </si>
  <si>
    <t>sitting (while putting hands on the table), standing, walking, running and going up/downstairs.</t>
  </si>
  <si>
    <t>RF, KNN, SVM, DT, NB, Nearest centroid (NC), and Gradiaent boosting (GB)</t>
  </si>
  <si>
    <t>10-fold CV and LOSO CV</t>
  </si>
  <si>
    <t>Performance of Activity Classification Algorithms in Free-Living Older Adults</t>
  </si>
  <si>
    <t>Jeffer Eidi Sasaki</t>
  </si>
  <si>
    <t>10.1249/MSS.0000000000000844</t>
  </si>
  <si>
    <t>standing, sedentary, locomotion, household, recreational</t>
  </si>
  <si>
    <t>SVM, RF</t>
  </si>
  <si>
    <t>The open source R statistical software package, version 3.0.1 - “Good Sport” (www.r-project.org) was used for developing and evaluating the algorithms. Packages ‘e1071′, and ‘Random Forest’ were used for developing the SVM and RF algorithms. For the SVM models, a radial-basis kernel was used and all other parameters from the ‘e1071′ package were kept in their initial default configuration. For the RF models, the number of trees was set to 500.</t>
  </si>
  <si>
    <t>Variable (5, 10, 20, 30)</t>
  </si>
  <si>
    <t>Table 1-5</t>
  </si>
  <si>
    <t>15 (from lab)</t>
  </si>
  <si>
    <t>Smartwatch based activity recognition using active learning</t>
  </si>
  <si>
    <t>Farhad Shahmohammadi</t>
  </si>
  <si>
    <t>https://doi.org/10.1109/CHASE.2017.115</t>
  </si>
  <si>
    <t>Samsung Gear Live</t>
  </si>
  <si>
    <t>running, walking, standing, sitting, and lying down.</t>
  </si>
  <si>
    <t>RF, ET, NB, LR, SVM</t>
  </si>
  <si>
    <t>An adaptive time window method for human activity recognition</t>
  </si>
  <si>
    <t>Zhang Sheng</t>
  </si>
  <si>
    <t>https://doi.org/10.1109/CCECE.2015.7129445</t>
  </si>
  <si>
    <t>iNemo sensor module (STEVAL-MKI062)</t>
  </si>
  <si>
    <t>upstairs, downstairs, standing, walking, running, sitting</t>
  </si>
  <si>
    <t>C4.5 DT</t>
  </si>
  <si>
    <t>Adaptive</t>
  </si>
  <si>
    <t>AUC ROC, FPR, Precision, Recall</t>
  </si>
  <si>
    <t>CNN-based Human Activity Recognition on Edge Computing Devices</t>
  </si>
  <si>
    <t>Amandeep Singh</t>
  </si>
  <si>
    <t>https://doi.org/10.1109/COINS57856.2023.10189270</t>
  </si>
  <si>
    <t>https://www.kaggle.com/datasets/florencdemrozi/adl4ul</t>
  </si>
  <si>
    <t xml:space="preserve">Nordic Thingy 53 </t>
  </si>
  <si>
    <t>Sitting, standing, walking, laying, jump, go upstairs, go downstairs, crouching (20x), frontal elevation of arms (20x)</t>
  </si>
  <si>
    <t xml:space="preserve">CNN (theirs), 5 other models as baseline (Logistic Regression, Linear Discriminant Analyses, Decision Tree, Random Forest, Multilayer Perceptron) </t>
  </si>
  <si>
    <t>.5 - 4</t>
  </si>
  <si>
    <t>0-50</t>
  </si>
  <si>
    <t>Improving the classification accuracy of streaming data using SAX similarity features</t>
  </si>
  <si>
    <t>Pekka Siirtola</t>
  </si>
  <si>
    <t>https://doi.org/10.1016/j.patrec.2011.06.025</t>
  </si>
  <si>
    <t xml:space="preserve">Accelerometer from VTI technologies </t>
  </si>
  <si>
    <t>roller skating, aerobics, walking, running, and Nordic walking.</t>
  </si>
  <si>
    <t>kNN, LDA, QDA, C4.5 and naive Bayes.</t>
  </si>
  <si>
    <t>Complex Human Activity Recognition Using Smartphone and Wrist-Worn Motion Sensors</t>
  </si>
  <si>
    <t>Muhammad Shoaib</t>
  </si>
  <si>
    <t>10.3390/s16040426</t>
  </si>
  <si>
    <t xml:space="preserve">March </t>
  </si>
  <si>
    <t>Samsung Galaxy S2</t>
  </si>
  <si>
    <t>all participants: walking, jogging, biking, walking upstairs, walking downstairs, sitting, standing. optional: eating, typing, writing, drinking cofee, giving a talk, and smoking.</t>
  </si>
  <si>
    <t>NB, KNN, DT</t>
  </si>
  <si>
    <t>Variable. 2, 5, 10, 15, 20, 25, 30</t>
  </si>
  <si>
    <t>F-measure</t>
  </si>
  <si>
    <t>Smart Devices are Different: Assessing and Mitigating Mobile Sensing Heterogeneities for Activity Recognition</t>
  </si>
  <si>
    <t>Allan Stisen</t>
  </si>
  <si>
    <t>https://doi.org/10.1145/2809695.2809718</t>
  </si>
  <si>
    <t>https://cs.au.dk/~allans/heterogenity/</t>
  </si>
  <si>
    <t>200 and 100</t>
  </si>
  <si>
    <t>LG G and Samsung Galaxy Gear</t>
  </si>
  <si>
    <t>‘Biking’, ‘Sitting’, ‘Standing’, ‘Walking’, ‘Stair Up’ and ‘Stair down’</t>
  </si>
  <si>
    <t xml:space="preserve"> C4.5 decision tree, linear support vector machines, K-nearest
neighbor, and random forest ensemble learner.</t>
  </si>
  <si>
    <t>Ngram time series model to predict activity type and energy cost from wrist, hip and ankle accelerometers: implications of age</t>
  </si>
  <si>
    <t>Scott J Strath</t>
  </si>
  <si>
    <t>10.1088/0967-3334/36/11/2335</t>
  </si>
  <si>
    <t>Actigraph GT3x</t>
  </si>
  <si>
    <t xml:space="preserve">8 (from 12) </t>
  </si>
  <si>
    <t>slow walk, walk, fast walk, computer work, vacuuming, sweeping/mopping, carrying boxes, walking with intermittent stair climbing</t>
  </si>
  <si>
    <t>On-body localization of wearable devices: An investigation of position-aware activity recognition</t>
  </si>
  <si>
    <t>https://doi.org/10.1109/PERCOM.2016.7456521</t>
  </si>
  <si>
    <t>Realworld HAR (they collected it!)</t>
  </si>
  <si>
    <t>LG G Watch R</t>
  </si>
  <si>
    <t>climbing stairs down (A1) and up (A2), jumping (A3), lying (A4), standing (A5), sitting (A6), running/ jogging (A7), and walking (A8)</t>
  </si>
  <si>
    <t>F1, FP rate, Precision, Recall</t>
  </si>
  <si>
    <t>Table 2 and 9</t>
  </si>
  <si>
    <t>CapsGaNet: Deep Neural Network Based on Capsule and GRU for Human Activity Recognition</t>
  </si>
  <si>
    <t>Xiaojie Sun</t>
  </si>
  <si>
    <t>https://doi.org/10.1109/JSYST.2022.3153503</t>
  </si>
  <si>
    <t>DAAD dataset (SC)</t>
  </si>
  <si>
    <t>SDUISv1</t>
  </si>
  <si>
    <t>handclap, running, sitting, walking, waving, punching down, punching straight, and slapping.</t>
  </si>
  <si>
    <t>SVM, CNN, GRU, CApsNEt, CApsGaNET</t>
  </si>
  <si>
    <t xml:space="preserve"> TensorFlow-gpu 1.11.0</t>
  </si>
  <si>
    <t>Posture and Physical Activity Detection: Impact of Number of Sensors and Feature Type</t>
  </si>
  <si>
    <t>Qu Tang</t>
  </si>
  <si>
    <t>10.1249/MSS.0000000000002306</t>
  </si>
  <si>
    <t>ActiGraph GT9X</t>
  </si>
  <si>
    <t>42 (they collected from 50 but excluded some data)</t>
  </si>
  <si>
    <t>Lie-back, rec-talk, rec-phone, sit-talk, sit-write, sit-still, sit-type, cycle-erg, stand-fold, stand-type, stand-shelf, stand-sweep, free-stand, stand-write, run-5.5%5, walk-1mph, walk-2mph, walk-3/3.5mph, walk-phone, walk-bag, walk-drink, walk-talk</t>
  </si>
  <si>
    <t xml:space="preserve">F1 </t>
  </si>
  <si>
    <t>An Improved Activity Recognition Method Based on Smart Watch Data</t>
  </si>
  <si>
    <t>Dengpan Tian</t>
  </si>
  <si>
    <t>https://doi.org/10.1109/CSE-EUC.2017.148</t>
  </si>
  <si>
    <t>iGwatch by Qingdao iGuan Technology</t>
  </si>
  <si>
    <t>Standing, walking, running, upstiars, downstairs</t>
  </si>
  <si>
    <t>MATLAB (CART alg)</t>
  </si>
  <si>
    <t>Selective Ensemble Based on Extreme Learning Machine for Sensor-Based Human Activity Recognition</t>
  </si>
  <si>
    <t>Yiming Tian</t>
  </si>
  <si>
    <t>https://doi.org/10.3390/s19163468</t>
  </si>
  <si>
    <t>TRIGNO</t>
  </si>
  <si>
    <t>walking, running, going upstairs, going downstairs, jumping and standing.</t>
  </si>
  <si>
    <t>DMGSOSEN ensemble method with 50, 100, 150, and 200 different pools to classify (ensemble models are best on ELMS (extreme leearning models))</t>
  </si>
  <si>
    <t>A Novel Sensor-Based Human Activity Recognition Method Based on Hybrid Feature Selection and Combinational Optimization</t>
  </si>
  <si>
    <t>https://doi.org/10.1109/ACCESS.2021.3100580</t>
  </si>
  <si>
    <t>TRIGNOTM wireless system from Delsys Company</t>
  </si>
  <si>
    <t>walking (W), going upstairs (GU), going downstairs (GD), running (R), jumping (J) and one static activity standing (S).</t>
  </si>
  <si>
    <t>Kernel extreme learning machine (KELM)</t>
  </si>
  <si>
    <t>Accuracy, F1,  Precision, Recall</t>
  </si>
  <si>
    <t>Table 11</t>
  </si>
  <si>
    <t>Machine learning for activity recognition: hip versus wrist data</t>
  </si>
  <si>
    <t>Stewart G Trost</t>
  </si>
  <si>
    <t>10.1088/0967-3334/35/11/2183</t>
  </si>
  <si>
    <t xml:space="preserve">October </t>
  </si>
  <si>
    <t>lying, sitting, stand +, walk, run, basketball (BB), dance</t>
  </si>
  <si>
    <t>logisic regression</t>
  </si>
  <si>
    <t>Human activity recognition based on random forests</t>
  </si>
  <si>
    <t>Lu Xu</t>
  </si>
  <si>
    <t>https://doi.org/10.1109/FSKD.2017.8393329</t>
  </si>
  <si>
    <t>Microsoft band 2</t>
  </si>
  <si>
    <t>walking, upstairs, downstiars, jumpting, running, keeping static</t>
  </si>
  <si>
    <t>DT (trained on CART), FNN, RF with various numbers of trees</t>
  </si>
  <si>
    <t>~1</t>
  </si>
  <si>
    <t>Kernel fusion based extreme learning machine for cross-location activity recognition</t>
  </si>
  <si>
    <t>Zhelong Wang</t>
  </si>
  <si>
    <t>https://doi.org/10.1016/j.inffus.2017.01.004</t>
  </si>
  <si>
    <t>Walking (3 km/h), Walking (5 km/h), Running (6 km/h), Running (12 km/h), Ascending stairs, Descending stairs, Bicycling, Rope jumping</t>
  </si>
  <si>
    <t>Table 10</t>
  </si>
  <si>
    <t>Effect of Equipment on the Accuracy of Accelerometer-Based Human Activity Recognition in Extreme Environments</t>
  </si>
  <si>
    <t>Stephen Ward</t>
  </si>
  <si>
    <t> https://doi.org/10.3390/s23031416</t>
  </si>
  <si>
    <t>Perception Neuron Mo-Cap</t>
  </si>
  <si>
    <t>walking on flat ground, walking up an incline slope, walking down a decline slope, walking up stairs, walking down stairs, sit on a 30 cm high block from standing, and stand from sitting on a 30 cm high block</t>
  </si>
  <si>
    <t>Table 8</t>
  </si>
  <si>
    <t>Smartwatch-based activity recognition: A machine learning approach</t>
  </si>
  <si>
    <t>Gary M. Weiss</t>
  </si>
  <si>
    <t>https://doi.org/10.1109/BHI.2016.7455925</t>
  </si>
  <si>
    <t>SC? (Seems to be WISDM, not credited)</t>
  </si>
  <si>
    <t>LG G watch</t>
  </si>
  <si>
    <t>general activities (not-hand oriented): walking, jogging, climbing stairs, sitting, standing, kicking soccer ball
general activities (hand-oriented): dribbling basketball, playing catch with tennis ball (two people), typing, handwriting, clappiing, brushing teeth, folding clothes
eating activities (hand-oriented): eating pasta, soup, sandwich, chips, drinking from a cup</t>
  </si>
  <si>
    <t>RF, NB, MLP, DT, IB3</t>
  </si>
  <si>
    <t>10-fold CV (personal models),  LOSO CV (impersonal models)</t>
  </si>
  <si>
    <t>A knowledge-light approach to personalised and open-ended human activity recognition</t>
  </si>
  <si>
    <t>Anjana Wijekoon</t>
  </si>
  <si>
    <t>https://doi.org/10.1016/j.knosys.2020.105651</t>
  </si>
  <si>
    <t>SelfBACK (SC)</t>
  </si>
  <si>
    <t>https://archive.ics.uci.edu/dataset/521/selfback</t>
  </si>
  <si>
    <t xml:space="preserve">walking downstairs, walking fast, walking moderate pace, walking slow, walking upstiars, standing, jogging, sitting, lying </t>
  </si>
  <si>
    <t>Matching Network</t>
  </si>
  <si>
    <t>From Bits of Data to Bits of Knowledge—An On-Board Classification Framework for Wearable Sensing Systems</t>
  </si>
  <si>
    <t>Pawel Zalewski</t>
  </si>
  <si>
    <t xml:space="preserve">https://doi.org/10.3390/s20061655 </t>
  </si>
  <si>
    <t>Triaxial MC3672 accelerometer</t>
  </si>
  <si>
    <t>3 sedentary (i.e., sitting, lying, standing), moderate (i.e., walking, turning leftwards, turning rightwards), and 3 rigorous (i.e., jumping, running, exercising) activities.</t>
  </si>
  <si>
    <t>Table 1, 5, and 11</t>
  </si>
  <si>
    <t>Physical activity classification using the GENEA wrist-worn accelerometer</t>
  </si>
  <si>
    <t>Shaoyan Zhang</t>
  </si>
  <si>
    <t>10.1249/MSS.0b013e31823bf95c</t>
  </si>
  <si>
    <t>GENEA</t>
  </si>
  <si>
    <t>sedentarty, household, walking, running</t>
  </si>
  <si>
    <t>DT, HMM, NN, and SVM</t>
  </si>
  <si>
    <t>Weka</t>
  </si>
  <si>
    <t>Human Activity Recognition Based on Motion Sensor Using U-Net</t>
  </si>
  <si>
    <t>Yong Zhang</t>
  </si>
  <si>
    <t>https://doi.org/10.1109/ACCESS.2019.2920969</t>
  </si>
  <si>
    <t>Sanitation workers</t>
  </si>
  <si>
    <t>Walk, Run, Sweep, Bsweep, Clean, Dump and Daily activities</t>
  </si>
  <si>
    <t>Walk, Run, Sweep, Bsweep (sweep using a big broom), Clean, Dump and Daily activities (like sitting and smoking)</t>
  </si>
  <si>
    <t>U net (they compared against a lot of other models SVM, DT, CNN, LSTM, ConvLSTM, FCN, Segnet, mask RCNN)</t>
  </si>
  <si>
    <t>TensorFlow and Keras</t>
  </si>
  <si>
    <t>96 samples</t>
  </si>
  <si>
    <t>Accuracy, WF1</t>
  </si>
  <si>
    <t>https://github.com/zhangzhao156/Human-Activity-Recognition-Codes-Datasets</t>
  </si>
  <si>
    <t>A Human Activity Recognition Model Based on Wearable Sensor</t>
  </si>
  <si>
    <t>Fan Zhou</t>
  </si>
  <si>
    <t>https://doi.org/10.1109/ICDH57206.2022.00033</t>
  </si>
  <si>
    <t xml:space="preserve">Oct </t>
  </si>
  <si>
    <t xml:space="preserve">Sit, stand, fo slow, go fast, upstairs, downstairs, jog, run fast </t>
  </si>
  <si>
    <t>CNN, RNN, and ConvRNN. Also SVM, DT, RF</t>
  </si>
  <si>
    <t>signal magnitude</t>
  </si>
  <si>
    <t xml:space="preserve">Table 3, 4
</t>
  </si>
  <si>
    <t>Variable</t>
  </si>
  <si>
    <t>Available on request</t>
  </si>
  <si>
    <t>Link seems dead.</t>
  </si>
  <si>
    <t>Can't find.</t>
  </si>
  <si>
    <t>Y*</t>
  </si>
  <si>
    <t>IP</t>
  </si>
  <si>
    <t>IS</t>
  </si>
  <si>
    <t>IF</t>
  </si>
  <si>
    <t xml:space="preserve">IS. NOTE: the results of the Oulu dataset may be replicable because they mention the segmentation protocols. </t>
  </si>
  <si>
    <t>IP. NOTE: DT, IBK, and NP seem replicable. SVM may be replicable if you assume the default parameters in WEKA.</t>
  </si>
  <si>
    <t>IP. NOTE: Yes, if you assume defualt parameters.</t>
  </si>
  <si>
    <t xml:space="preserve">TTS </t>
  </si>
  <si>
    <t xml:space="preserve">TTS. NOTE: LOPO is reproducible. </t>
  </si>
  <si>
    <t xml:space="preserve">IP (ANN is missing seed). NOTE: all other models are likely reproducible. </t>
  </si>
  <si>
    <t xml:space="preserve">TTS. NOTE: LOPO may be reproducible if it is implementable. </t>
  </si>
  <si>
    <t xml:space="preserve">IP (missing seed). </t>
  </si>
  <si>
    <t>DNA</t>
  </si>
  <si>
    <t>ID</t>
  </si>
  <si>
    <t xml:space="preserve">IP. NOTE:  SVM, KNN,and MLP are likely replicable. </t>
  </si>
  <si>
    <t xml:space="preserve">IP. NOTE: DT is likely replicable. </t>
  </si>
  <si>
    <t>y</t>
  </si>
  <si>
    <t xml:space="preserve">TTS. NOTE: LOPO may be reproducible. </t>
  </si>
  <si>
    <t xml:space="preserve">NOTE: code link is broken. So this depends n if the info is actually available. </t>
  </si>
  <si>
    <t>ANR</t>
  </si>
  <si>
    <t>https://www.mhealthgroup.org/datasets.html</t>
  </si>
  <si>
    <t>https://github.com/OxWearables/ssl-wearables?tab=readme-ov-file</t>
  </si>
  <si>
    <t>https://github.com/qutang/tang_msse_2020</t>
  </si>
  <si>
    <t xml:space="preserve">Code (Link) </t>
  </si>
  <si>
    <t>First Author</t>
  </si>
  <si>
    <t>Dataset Link (if self collected)</t>
  </si>
  <si>
    <t>Device (Name + Brand)</t>
  </si>
  <si>
    <t>Mannini (Stanford)</t>
  </si>
  <si>
    <t>IM-Sporting Behaviors Dataset</t>
  </si>
  <si>
    <t xml:space="preserve">Link to UCI ML repository, no specific dataset found. </t>
  </si>
  <si>
    <t xml:space="preserve">No link in this paper, but may be released in a different publication. </t>
  </si>
  <si>
    <t>Link: http://ps.ewi.utwente.nl/Datasets.php. NOTE: the link is broken.</t>
  </si>
  <si>
    <t>Link: https://www.mhealthgroup.org/datasets.html. NOTE: link is broken</t>
  </si>
  <si>
    <t>Available by request to authors.</t>
  </si>
  <si>
    <t>Range (± g)</t>
  </si>
  <si>
    <t>collected at 50-200 (downsampled to 50)</t>
  </si>
  <si>
    <t>50 (upsampled from 20)</t>
  </si>
  <si>
    <t>Android Wear 1.5 wearable (LG G Watch)</t>
  </si>
  <si>
    <t xml:space="preserve">0.0166 (downsampled from 32 Hz) </t>
  </si>
  <si>
    <t>8 (GT3X),  2 (smartwatch)</t>
  </si>
  <si>
    <t>Actigraph GT3X and Samsung Gear S smartwatch</t>
  </si>
  <si>
    <t>Meta Motion R</t>
  </si>
  <si>
    <t xml:space="preserve">228 across all datasets (not all have wrist data) </t>
  </si>
  <si>
    <t>19-83 yo</t>
  </si>
  <si>
    <t>Variable across datasets</t>
  </si>
  <si>
    <t xml:space="preserve">18-91 yo </t>
  </si>
  <si>
    <t>21-55 yo, the data also includes "age, height, weight, fitness level, gender and skin type."</t>
  </si>
  <si>
    <t>4 M, 4 F, between 20-30 yo</t>
  </si>
  <si>
    <t xml:space="preserve">4 M, 4 F, 20-30 yo </t>
  </si>
  <si>
    <t>Avg ave 27.2 (3.1) yo, 8 M, 2 F</t>
  </si>
  <si>
    <t>Healthy, 29.4 (2.1) yo, 4 M, 1 F</t>
  </si>
  <si>
    <t>14 F, 21 M, avg. age 65</t>
  </si>
  <si>
    <t>25-30 yo</t>
  </si>
  <si>
    <t>1F, 8M, 24-32 yo</t>
  </si>
  <si>
    <t>33 "adults", 20 "youth"</t>
  </si>
  <si>
    <t>"adults" (11 M, 22 W, 18–75 yo, height = 168.5 ± 9.3 cm [range 149–189], weight = 70.0 ± 15.6 kg [range 48–114])</t>
  </si>
  <si>
    <t>"youth" 12 B, 8 G, 13 (1.3) yo</t>
  </si>
  <si>
    <t>"adults"</t>
  </si>
  <si>
    <t>"youths"</t>
  </si>
  <si>
    <t>Diverse profiles (see paper)</t>
  </si>
  <si>
    <t>5 F, 13 M, 22-45 yo</t>
  </si>
  <si>
    <t>See Table 1</t>
  </si>
  <si>
    <t>27.2 (3.3) yo, 1 W, 8 M, average body mass index (BMI) of 25.1 ± 2.6 kg/m2</t>
  </si>
  <si>
    <t xml:space="preserve">1F, 8M, 25-30 yo </t>
  </si>
  <si>
    <t>1 F, 8 M, all employed, 27.22 (3.31) yo, average body mass index (BMI) ranging from 25.11 ± 2.62kg.</t>
  </si>
  <si>
    <t>31.9 (12.4) yo, 173.1 (6.9) cm, weight 74.1 (13.8) kg, 8 M, 7 F</t>
  </si>
  <si>
    <t>31.9 (12.4) yo, 173.1 (6.9) cm, and weight 74.1 ± 13.8, with eight males and seven females)</t>
  </si>
  <si>
    <t>11 M, 5 F, 19-81 yo</t>
  </si>
  <si>
    <t>47 (51 were collected but four were excluded due to data issues during collection)</t>
  </si>
  <si>
    <t>18-25 yo</t>
  </si>
  <si>
    <t>5 M, 5 F, 22-53 yo</t>
  </si>
  <si>
    <t>4 M, 5 F, 24-53 yo (median of 33 yo), 48-80 kg, 158-180 cm</t>
  </si>
  <si>
    <t xml:space="preserve">"children" 3-5 yo (mean age = 4.0 (0.9) yo), evenly distributed about the age range, 9 G, 22 B. </t>
  </si>
  <si>
    <t>6-18 yo, all with cerebral palsy, 25 F, 13 M. Australian. Some participants were excluded for having various medical procedures. See Table 1</t>
  </si>
  <si>
    <t>3-5 yo. 9G, 22 B, participants approximately stratified by age.</t>
  </si>
  <si>
    <t>"Healthy", 21-57 yo, average age  32.0 (8.8) yo. 13 M: age 32.8 (10.0) yo 
(median 30.0 yo). 12 F: age 
31.0 (7.7) yo  (median 30.0 yo).
Only 5 M completed biking: ages 38.4 (5.3)  (median 37.0 yo)</t>
  </si>
  <si>
    <t>11 M, 4 F,  mean age 29.8 (5.2) yo, mean weight 71.8 (15.9) kg, mean height 1.75 (0.10) cm, mean BMI 23.2 (3.0) kg/m2.</t>
  </si>
  <si>
    <t>9 M, 2 F</t>
  </si>
  <si>
    <t>8 M, 12 F, age 44.9 (5) yo, duration of T1 Diabetes for 22.9 (15.8) yo,
mean HbA1c of 6.8 (0.7)</t>
  </si>
  <si>
    <t>24-33 yo, mean age 26.25 (2.86). All male participants</t>
  </si>
  <si>
    <t>10 M, 15 F, mean age: 23.6 (2.41) yo</t>
  </si>
  <si>
    <t>40 (not all participants completed all the activities)</t>
  </si>
  <si>
    <t>mean age 72.2 (7.1) yo (See Table 2).</t>
  </si>
  <si>
    <t>"healthy", age: 24.6 (3.9) yo, height: 174.4 (5.4) cm, weight: 69.1 (8.2) kg, 8 M, 8 participants with right dominant leg</t>
  </si>
  <si>
    <t>48% M, age 18–64 yo</t>
  </si>
  <si>
    <t>2 F, 27-35 yo</t>
  </si>
  <si>
    <t>2 M, 2 F, 25-30 yo</t>
  </si>
  <si>
    <t>"Healthy"</t>
  </si>
  <si>
    <t>32.7  (12.7) yo, 14 F, mean height 171.5 (7.1) cm, mean weight 69.2 (13.6) kg.</t>
  </si>
  <si>
    <t>all participants used a wheelchair, 40.03 (10.57) yo, 75.8 (17.54) kg and 1.76 (0.09) m. See Table 1</t>
  </si>
  <si>
    <t xml:space="preserve">18 participants across the two data collection protocols (2 participants are in both protocols) </t>
  </si>
  <si>
    <t>4 F, 6 M, 18-35 yo</t>
  </si>
  <si>
    <t>1 M, 1 F, 21 and 22 yo</t>
  </si>
  <si>
    <t>"university students", 58-80 kg</t>
  </si>
  <si>
    <t>All males, 20-40 yo</t>
  </si>
  <si>
    <t>"adults": 14 M, 6 F, age: 23.2 (3.6) yo,
height: 1.71 (0.09) m, weight: 60.2 ± (7.7) kg. twenty "children": 7 M, 13 F, age: 8.8 (1.8) yo; height: 1.33 (0.13) m; weight: 29.5 (9.5) kg</t>
  </si>
  <si>
    <t>"Healthy" male</t>
  </si>
  <si>
    <t>2 F, 2 M</t>
  </si>
  <si>
    <t>20+ yo, able to read and write in English</t>
  </si>
  <si>
    <t>24 F,  24 M, age: 29 (9) yo. "The population included 29 normal weight subjects (16 females and 13 males, body mass index
BMI = 22 kg/m2 on average) with a BMI below the threshold of 25 kg/m2 and 19 overweight subjects (8 females and
11 males, BMI = 27 kg/m2 on average) with a BMI higher
than 25 kg/m2."</t>
  </si>
  <si>
    <t>All male adults. 28.1 (3.8) yo, mean body mass index (BMI) of 24.8 (3.4) kg/m2</t>
  </si>
  <si>
    <t>"Healthy" adults</t>
  </si>
  <si>
    <t>24 F (80% of the participants), average age: 81.4 yo. "The mobility status details are: one (3.3%) of the adults was entirely independent, 12 (40.0%) were independent with a cane/walker, and 17 (56.7%) needed assistance from a person to walk."</t>
  </si>
  <si>
    <t>6 M, 6F, 23-45 yo</t>
  </si>
  <si>
    <t>See Table 2</t>
  </si>
  <si>
    <t>See Table 4</t>
  </si>
  <si>
    <t>Indoors: age: 34(9.2) yo, weight: 78.4 (12.5) kg. Outdoors: 8
"healthy" adults, age: 32.4 (4.4) yo, weight: 79.7 (8.8) kg.</t>
  </si>
  <si>
    <t>8 M, 4 F, 22-28 yo</t>
  </si>
  <si>
    <t>10 M, 2 F, 18-27 yo, 52-107 kg, 158-190 cm</t>
  </si>
  <si>
    <t>all male, "healthy", 23-35 yo</t>
  </si>
  <si>
    <t xml:space="preserve">31.9 (12.4) yo, 173.1 (6.9) cm, 74.1 (13.8) kg, 8 M, 7 F </t>
  </si>
  <si>
    <t xml:space="preserve">6 M, 6 F, 24-34 yo </t>
  </si>
  <si>
    <t>27 M, 15 F. 23.4 (2.7) yo, BMI index: 24.2 (4.2) kg·m−2</t>
  </si>
  <si>
    <t>"healthy students" 20-34 yo, mean age: 26, 3 M, 2 F</t>
  </si>
  <si>
    <t>20-45 yo</t>
  </si>
  <si>
    <t>28 B, 24 G. See Table 1</t>
  </si>
  <si>
    <t>19-32 yo, mean age: 25 yo, "students with previous mountaineering ecperience"</t>
  </si>
  <si>
    <t>23-36 yo, 3 F, 4 M</t>
  </si>
  <si>
    <t>23 M: 48.9 (6.8) yo,  BMI: 25.9 (2.7) kgImj2. 37 F: 49.6 (6.4) yo, BMI = 23.8 (3.5) kgImj2</t>
  </si>
  <si>
    <t>"healthy"</t>
  </si>
  <si>
    <t>Semi- or highly-supervised</t>
  </si>
  <si>
    <t>Free-living</t>
  </si>
  <si>
    <t xml:space="preserve">Free-living
</t>
  </si>
  <si>
    <t>Semi- or highly-supervised and free-living</t>
  </si>
  <si>
    <t>Unrestricted play session in a specified location</t>
  </si>
  <si>
    <t>5 (from 12)</t>
  </si>
  <si>
    <t>8 (from 12)</t>
  </si>
  <si>
    <t>Not fully specified, but included activities "such as brushing teeth, sitting down on a chair, eating with a spoon, climbing the stairs, and walking"</t>
  </si>
  <si>
    <t>10 (from 18)</t>
  </si>
  <si>
    <t>13 (from 18)</t>
  </si>
  <si>
    <t>3 (classes made from 18 acts)</t>
  </si>
  <si>
    <t>4 (from 7)</t>
  </si>
  <si>
    <t>10 (from 24)</t>
  </si>
  <si>
    <t>Sed, Mild, Mod, Vig</t>
  </si>
  <si>
    <t xml:space="preserve">5 (from 10) </t>
  </si>
  <si>
    <t>6 (from 23)</t>
  </si>
  <si>
    <t>5 (from 16)</t>
  </si>
  <si>
    <t>7 (from 12)</t>
  </si>
  <si>
    <t>4 (from 16. Each participant performed between 10-12 activities.)</t>
  </si>
  <si>
    <t>5 (from 9)</t>
  </si>
  <si>
    <t>7 (from 13)</t>
  </si>
  <si>
    <t>6 (from 17)</t>
  </si>
  <si>
    <t>10 (from 20)</t>
  </si>
  <si>
    <t>"In workplaces, five tasks were considered: office work, reading, writing, sleeping, and playing a video game. Writing an email, writing a letter, and coding are all examples of office work. In kitchens, three things were considered: dining, cooking, and dish washing. The remaining three events were deemed suitable for outdoor participation."</t>
  </si>
  <si>
    <t>rowing (ROW), cycling on an exercise bike (CYC), running on a treadmill with a speed of 8 km/h (RUN), walking on treadmill with a speed of 4 km/h (WALK), jumping (JUMP), standing (STAND), sitting (SIT), ascending stairs (SU), and descending stairs (SD)</t>
  </si>
  <si>
    <t xml:space="preserve">See Figure 5
</t>
  </si>
  <si>
    <t>cycling, laying, running, sitting, stair climbing, standing, walking, and, washing hands</t>
  </si>
  <si>
    <t>lying down, sitting, standing and several household chores, such as dishwashing, stakingShelves and vacuumCleaning. The outdoor activities included the different types of walking: walking Slow, walking Normal, walking Fast and cycling</t>
  </si>
  <si>
    <t>Sitting’, ‘Standing’, ‘Biking’, ‘Walking’, ‘Going up stairs’ and ‘Going down stairs’</t>
  </si>
  <si>
    <t>climbing stairs down and up, jumping, lying, standing, sitting, running/jogging, and walking</t>
  </si>
  <si>
    <t xml:space="preserve">ambulation, cycling, other, sedentary </t>
  </si>
  <si>
    <t>Static activities: (1) standing till; (2) sitting and relaxing; and (3) lying down
Dynamic activities: (4) walking; (5) climbing stairs; (6) waist bends forward; (7) frontal elevation of arms; (8) knees bending; (9)  cycling; (10) jogging; (11) running; and (12) jumping front and back</t>
  </si>
  <si>
    <t>standing still, sitting, lying down, walking, and others</t>
  </si>
  <si>
    <t>standing, walking, running, cycling, rope jumping</t>
  </si>
  <si>
    <t>"physical activities such
as running, cycling, playing soccer, vacuum cleaning, house cleaning, and car driving."</t>
  </si>
  <si>
    <t>lying (a1), sitting (a2), standing (a3), ironing (a4), vacuuming (a5), walking upstairs (a6), walking downstairs (a7), ascend stairs (a8), descend stairs (a9), cycling (a10), and running (a11)</t>
  </si>
  <si>
    <t>t_turn, t_straighten, t_stand_sit, t_stand_kneel, t_sit_stand, t_sit_lie, t_lie_sit, t_kneel_stand, t_bend, p_stand, p_squat, p_sit, p_lie, p_kneel, p_bent, a_walk, a_loadwalk, a_jump, a_descend, a_ascend</t>
  </si>
  <si>
    <t>walking, pushing lawnmower, biking, jogging, playing football (soccer), running, washing dishes, dusting, mopping, ironing, vacuuming, ascending and descending stairs, sitting, working with computer, teaching at blackboard, reading book, reading magazines and packing/unpacking boxes</t>
  </si>
  <si>
    <t>getting up from the bed (GUB), sitting down on a chair (SDC) and standing up from a chair (SUC), reiterated actions (climbing stairs (CS) and walking (WK)) and complex actions (drinking water (DW) and pouring water from glasses (PWG))</t>
  </si>
  <si>
    <t xml:space="preserve">See Table 1 
</t>
  </si>
  <si>
    <t>Walking, jogging, ascending/descending stairs, sitting, standing, kicking a soccer ball,
dribbling a basketball, catching a tennis ball, typing, writing, clapping, brushing teeth, folding clothes, eating pasta, eating soup, eating a sandwich, eating chips, drinking from a cup</t>
  </si>
  <si>
    <t>See Figure 2</t>
  </si>
  <si>
    <t>1. Non-hand-oriented activities: a. Standing, b. Jogging, c. Stairs, d. Sitting, e. Walking
2. Hand-oriented activities: a. Typing, b. Writing, c. Brushing, d. Folding Clothes, e. Dribbling (Basketball), f. Playing (Catch), g. Eating (Pasta), h. Clapping 
"While the dataset initially consisted of raw data for 18 activities, those that were highly similar in nature (for instance, different variants of eating such as eating chips, sandwich, pasta, etc) are discarded and only 13 of them that are unique are used for this research."</t>
  </si>
  <si>
    <t>Walking, Jogging, Stairs, Sitting, Standing, Typing, Brushing Teeth, Eating Soup, Eating Chips, Eating Pasta, Drinking from Cup, Eating Sandwich, Kicking, Playing, Dribbling, Writing, Clapping, Folding Cloths, Walking, Jogging, Stairs, Sitting, Standing, Typing, Brushing Teeth, Eating Soup, Eating Chips, Eating Pasta, Drinking from Cup, Eating Sandwich, Kicking, Playing, Dribbling, Writing, Clapping, Folding Cloths</t>
  </si>
  <si>
    <t>walking (A), jogging (B), stairs (C), sitting (D) and standing €</t>
  </si>
  <si>
    <t>• Non-hand-oriented: walking, jogging, stairs, standing, kicking (soccer Ball)
• Hand-oriented (Eating): eating soup, eating chips, eating pasta, drinking from cup, eating sandwich
• Hand-oriented (General): typing, brushing teeth, playing catch, tennis ball, dribbling basketball, writing, clapping, folding clothes</t>
  </si>
  <si>
    <t>SED (supine rest, sitting drawing, and sitting on bench), Standing Utilitary Movements (wiping table + active video game) , and Walking (brisk + moderate walk)</t>
  </si>
  <si>
    <t>SED = sedentary; LIGHT AG = light activity and games; MV AG = moderate to vigorous activities and games; WALK = walking; RUN = running</t>
  </si>
  <si>
    <t>sedentary (lying, sitting, standing) and active (whole body motions, walking, hiking, running)</t>
  </si>
  <si>
    <t xml:space="preserve">Self-defined/annotated </t>
  </si>
  <si>
    <t>See Section IIA</t>
  </si>
  <si>
    <t>Walking (treadmill at 1mph), Walking (treadmill at 4mph), Running (treadmill at 6mph, 5% grade), Seated/folding/stacking laundry, Standing/fidgeting with hand while talking, Hard surface walking holding filled coffee cup, Walking down stairs (5 floors)</t>
  </si>
  <si>
    <t>"The treadmill speed could not be more than seven kilometers per hour and the running speed could not be less than this value. For the exercise of stimulating biceps it was not necessary to use dumbbells, only the execution of the movement, being a choice of the volunteer to use the dumbbells or not."</t>
  </si>
  <si>
    <t>1. Relaxing on a chair , 7. Brushing Teeth, 13. Downstairs, 2. Keyboard Typing, 8. Sweeping, 14. Walking, 3. Using the Laptop, 9. Vacuuming, 15. Walking Fast, 4. Handwriting, 10. Eating (a soup), 16. Upstairs Fast, 5. Washing Hands, 11. Dusting surface, 17. Upstairs, 6. Washing Face, 12. Rubbing surface</t>
  </si>
  <si>
    <t>raw: lying down, body transfers, moving items, mopping, working on a computer, watching TV, arm-ergometer exercise, passive propulsion, slow propulsion and fast propulsion. Grouped: sedentary, transfers, housework, moderate physical activity, locomotion</t>
  </si>
  <si>
    <t xml:space="preserve">"Ambulatory movements included walking,
sitting, standing, ascending and descending. Observed hand gestures consist of simple hand gestures such as (1) moving hand upward, (2) moving hand downward, (3) moving hand up
and down, (4) waving with tight hand and (5) waving with loose hand as well as a number of activities of daily living such as (6) biking, (7) driving, (8) talking on the phone, (9) walking
and (10) eating." </t>
  </si>
  <si>
    <t>"walking for 120 seconds, running for 100 seconds, jumping for 80 seconds, hopping for 45 seconds and throwing for 130 seconds"</t>
  </si>
  <si>
    <t>See Sec. 4.1.2</t>
  </si>
  <si>
    <t>1. lying, 2. sitting, 3. standing, 4. walking, 5. bending, 6. getting up, 7. lying down, 8.
putting a hand back, 9. sitting down, 10. standing up, and 11. stretching a hand.</t>
  </si>
  <si>
    <t>See Sec. 3</t>
  </si>
  <si>
    <t>Lying (6.7%), Sitting (13.06%), Walking (8.2%), Running (3.3%), Cycling (5.73%), Nordic walking (6.48%), Upstairs (4.08%), Downstairs (3.65), vacuum cleaning (6.13%), Ironing (8.31%), Rope jumping (1.92%), Other (transient activities) (32.44%)</t>
  </si>
  <si>
    <t>M-RKELM (novel mixed and reduced kernel extreme ML model) algorithm is compared with Huang’s kernel ELM [31], ELM and RKELM</t>
  </si>
  <si>
    <t>Ensemble bagged trees (EBT), SVM, DT, KNN2, KNN1 (weighted)</t>
  </si>
  <si>
    <t>ResNet (compared to other DL models). LSTM, CNN, BiLSTM, GRU, BiGRU</t>
  </si>
  <si>
    <t>6 popular SotA models. Deep feed-forward neural network (DFNN), autoencoder deep feedforward neural network (AE-DFNN), one-dimensional convolutional neural network (1D-CNN), two-dimensional convolutional neural network (2D-CNN), recurrent neural network with long short-term memory (RNN-LSTM) and feature engineering using deep feed-forward neural network (FE-DFNN). Their novel model is a 2D CNN using a spectrogram as input.</t>
  </si>
  <si>
    <t>SVM, Hidden conditional random forest (HCRF), and CNN. They propose a fused LSTM (which is not relevant for this review)</t>
  </si>
  <si>
    <t xml:space="preserve">FastForestOva, FastTreeOva, LbfgsLogisticRegressionOva, LbfgsMaximumEntropyMulti, LightGbmMulti, SdcaLogisticRegressionOva, SdcaMaximumEntropyMulti 
They evaluated 52 models in total because of different feature sets. </t>
  </si>
  <si>
    <t xml:space="preserve">16 models evaluated. Combinations of RNN, CNN, RNN-CNN, and Wavelet Based NN. </t>
  </si>
  <si>
    <t xml:space="preserve"> fully-convolutional neural network (FCN), personalized engineered feature
model (PEF), personalized deep feature model (PDF), personalized triplet network trained with conventional
triplet loss (PTN†), and the personalized triplet model trained with patient-specific triplet loss (PTN)</t>
  </si>
  <si>
    <t>SVM (with kernel degree 5, lambda = 10, C = 1)</t>
  </si>
  <si>
    <t>(1) K-Nearest Neighbour with k=5), (2) Multi-Layer Perceptron (3-hidden layers), (3) Support Vector Machine (with RBF Kernel), (4) Random Forest, and (5) XGB.
Their model is a proposed hierarchical "flat model"</t>
  </si>
  <si>
    <t xml:space="preserve">Ensemble method. Five traditional models predicting at once (SVM, DT, RF, KNN, and gaussian NB). Majority of the votes is the final prediction; no majority vote "other" class. </t>
  </si>
  <si>
    <t>Y (if you count the DTW)</t>
  </si>
  <si>
    <t>DT and DL (with Covs).
They use a two-stage classifier: DT for classification of exercise or not, DL for within the two classes.</t>
  </si>
  <si>
    <t>RF (prior eval of SVM, KNN, DNN included in prior work)
Model decides sedentary, mod, or vigorous and then classifies within that category.</t>
  </si>
  <si>
    <t>R (Glmnet + L1)</t>
  </si>
  <si>
    <t xml:space="preserve">scikit .17, Python </t>
  </si>
  <si>
    <t>"mean for each axis, standard deviation for each axis, maximum value of each axis, correlation between each pair of axes, mean of the magnitude, standard deviation of the magnitude, mean difference of the magnitude, and area under the curve of the magnitude"</t>
  </si>
  <si>
    <t>"a total of 21 statistical features in the time and frequency domains."</t>
  </si>
  <si>
    <t>"For each window, we extracted a 112-dimensional feature vector. These features were selected from an extensive list of time and frequency domain features described in previous studies [18,24,25] and are listed in online supplemental Table 1. The extracted features were used as inputs for balanced RF, ANN, SVM, DT, and NB to classify sleep, sedentary behaviour, LPA, and MVPA. "</t>
  </si>
  <si>
    <t xml:space="preserve">Selected 18 final features from 24. They do not say which 18. </t>
  </si>
  <si>
    <t>See Table 3</t>
  </si>
  <si>
    <t>See Table 2 and 3</t>
  </si>
  <si>
    <t>"mean, standard deviation, skewness and kurtosis for each acceleration axis and magnitude, correlations between each pairwise axis combination, entropy, signal spectral amplitude, power, and frequency."</t>
  </si>
  <si>
    <t>"3.1.1 Global Features. In this study, we extract six general features, i.e., mean, variance, maximum, minimum, skewness and kurtosis, as global features for each signal segment excluding non-stationary signals from every accelerometer axis. Besides the three-axis accelerometer signals, the magnitude of x, y and z axis is also used for feature extraction. In total, this results in 24 global features per sensor node by timing 4 (x,y,z and magnitude) and 6 (6 general features mentioned above). 3.1.2 Local Features. Similar to global features, mean, variance, maximum, minimum, skewness and kurtosis are extracted for each frame as local features. Thus, they comprise 24 (same as the number of global features)×4 (frames) = 96 local features. Moreover, 3 Delta local features, corresponding to the changes of signal pattern distribution are also calculated in this study."</t>
  </si>
  <si>
    <t>"the three original accelerometer signals, the magnitude of acceleration computed from them, three derived jerk signals (the derivative of acceleration with respect to time), and the magnitude computed from them. In the frequency domain, the signals are the Fast Fourier Transforms (FFTs) of the time domain signals.""</t>
  </si>
  <si>
    <t>See Sec. Data preprocessing and features evaluation</t>
  </si>
  <si>
    <t>"Features were computed using SM data from each window, again following prior work [8]. Temporal and frequency features consisted of mean value, standard deviation, maximum value, range, first dominant frequency, ratio between the power at the dominant frequency and the total power, ratio between the power at frequencies higher than 3.5 Hz and the total power, and two signal fragmentation features (i.e., the number of high activity samples in the window, and the number of activations episodes in the window, see [8]). Signal fragmentation features that capture the level and duration of activity bursts within the window were also computed using the SM, as in previous work [8]."</t>
  </si>
  <si>
    <t>"The acceleration magnitude array m¯ is calculated from the input data window x¯, y¯ and z¯, as in (4). Next, one or more of the following statistical features, according to the system coN/Aiguration, are extracted from the magnitude array: mean (5), maximum (6), minimum (7) and variance (8)"</t>
  </si>
  <si>
    <t>"frame-wise calculation of a total of 23 statistical features as outlined in [8,30]. These include mean and standard deviation of each axis, pitch and roll, entropy, energy and inter-axis correlation coefficients."</t>
  </si>
  <si>
    <t>See Sec. Feature Extraction</t>
  </si>
  <si>
    <t>"Subsequently, additional features are extracted from each window segment to describe the activity characteristic. Extracted features are expected to represent the relevant iN/Aormation by reducing the representation of data stream. In such states, the features from two groups: statistical and frequency features are derived. "</t>
  </si>
  <si>
    <t>See Sec. III A and B</t>
  </si>
  <si>
    <t>"Within each window specific features were calculated, although, to be able to test the feature selection step for activity recognition the amount of features was intentionally exploded in this study. Thus the features included previously used features for activity recognition (e.g. in [14]) as well as novel features called in this article phase based features. In practice, these features were calculated for every signal one signal at a time by searching crossings of the signal with a predefined limit L. Between these crossings the biggest and smallest area below and above of the limit as well as the biggest and smallest amplitude were calculated for the signal in question. In addition, area iN/Aormation at the corresponding sequence of the other two signals were selected as features as well as the corresponding amplitude of the signals (see Figure 1). In this article three limits were used (0, 1 and mean). These features were then divided into three sets where the first set basically consisted of statistical features (standard deviation, mean, minimum, maximum, percentiles, sequence periods, zero-crossings and mean crossings for every channels and correlation iN/Aormation between the channels), second set added wavelet and FFT features and the third set the phase based features.
In this article, the best features were chosen using sequential forward selection (SFS) and minimum Redundancy Maximum Relevance Feature Selection (mRMR). In the SFS the the best features were selected one at a time using the classification accuracy of the model(s) in question as a selection criteria [15]. However, the selection was not stopped at local minimum but it was allowed to choose until “the best features” included all the features. On the other hand, with mRMR the feature selection was done model independently by selecting features having the highest correlation to the classification variable but locating far from each other [16]. Nevertheless, also when using mRMR the amount of features was selected using the model independent feature ranking with the model dependent maximum classification accuracy in leave-one-person-out cross-validation for each model separately."</t>
  </si>
  <si>
    <t>"b) Binned distribution feature: contains 30 fields generated by using 10 bins for each axis. For each bin, the fraction of all values is used. c) Average feature: contains 3 fields, one for each axes, and represents the average sensor value for that chunk of data and axis. d) Time between peaks feature: contains 3 fields that indicate the time difference between the sinusoidal waves peaks. e) Average Absolute Difference feature: contains 3 fields for the average absolute difference of the chunk values and the mean value of these. f) Standard deviation feature: contains 3 fields indicating the standard deviation per axis. g) Variance feature: contains 3 fields indicating the variance per axis. h) MFCC feature: contains 39 fields indicating the Melfrequency cepstral coefficients. There are 13 fields per axis. i) Cosine distance feature: contains 3 fields indicating the cosine distances for the sensor values. j) Correlation feature: contains 3 fields indicating the correlations for the sensor values. k) Average resultant acceleration feature: contains 1 field indicating the average of the square root for the sum of squares for each axis value."</t>
  </si>
  <si>
    <t>"mean, median, absolute energy, standard, deviation, variance, minimum, maximum, skewness, kurtosis, mean spectral energy, and mean crossings. The features are individually computed for each of the data channels in the dataset. All features are individually scaled to unit norm and zero mean across the training dataset."</t>
  </si>
  <si>
    <t>Magnitude of signal</t>
  </si>
  <si>
    <t>"For each episode, two features are defined for each of the accelerometer axes. The first feature is the coefficient of variation, which reflects the acceleration variability across 40 samples spanning the 2 s long episode. The second feature is the number of mean crossing points within an episode. Physically, this one indicates the frequency of movements of the subject from its mean position."</t>
  </si>
  <si>
    <t>"• Time-domain: Interquartile range, Max, Mean, Median, Min, Root mean square, Skewness, Standard deviation, variance, Absolute energy, Autocorrelation, Centroid Entropy, Zero crossing rate, Kurtosis, Histogram • Frequency-domain: Fundamental frequency, Max power spectrum, Maximum frequency, Median frequency, Spectral entropy, Spectral kurtosis, Spectral skewness"</t>
  </si>
  <si>
    <t xml:space="preserve">See Section III A </t>
  </si>
  <si>
    <t>"prominence, width, variability and entropy " or "mean, std, skewness, kurtosis, energy of the signal, frequency-domain entropy, interquartile range, root mean square and mean absolute deviation"</t>
  </si>
  <si>
    <t>See Sec. Data pre-processing and feature extraction</t>
  </si>
  <si>
    <t>"Features included mean, SD, minimum, maximum, interquartile range, percentiles (10th, 25th, 50th, 75th, and 95th), coefficient of variation, signal sum, signal power, peak-to-peak amplitude, median crossings, dominant frequency between 0.25 and 5.0 Hz, and magnitude of dominant frequency between 0.25 and 5.0 Hz."</t>
  </si>
  <si>
    <t>"In total, 15 features were extracted from each axis and included the minimum, maximum, mean, variance, standard deviation, skewness, kurtosis, percentiles (25th, 50th, and 75th), zero-crossings, energy, dominant frequency, dominant magnitude, and entropy. Cross-axis correlations and the mean vector magnitude were also extracted."</t>
  </si>
  <si>
    <t>Two feature sets: 1) "Base features: time and frequency domain features were used in the previously published activity classification models [21,22,28]: mean, SD, minimum, maximum, interquartile range, percentiles (10th, 25th, 50th, 75th, 95th), coefficient of variation, signal sum, signal power, peak-to-peak amplitude, median crossings, cross axis correlations, dominant frequency between 0.25 and 5.0 Hz, and magnitude of dominant frequency between 0.25 and 5.0 Hz."  2) " Base plus temporal features: a second feature set consisted of the base features and temporal features calculated from the preceding (lead) and succeeding (lag) activity windows. These included the standard deviation (SD) for the 1 and 2 lag and lead windows and the SD over the lag and lead windows and the current window ([σ = 1 N PN i=0 (xi − µ) 2 ], where n = 5). This resulted in a total of five temporal features, in addition to the base features."</t>
  </si>
  <si>
    <t>"Initially 110 features were used of which most were adopted from previous studies by other researchers. A total of 18 features were adopted from [7], 66 features from [8] and 24 features from [9]. " and "As a part of this study it was evaluated how decreasing the number of features based on correlation affects the classifier performance. For that, a large correlation matrix was formed which showed each feature’s correlation coefficient with all the other features. From the features pairs or groups that had a strong correlation (correlation coefficient larger than 0.9 or less than -0.9) only the simpler (in terms of complexity and computational requirements) features were kept. With this, a total of 67 features were removed from the initial list and a new subset of 43 features was formed. "</t>
  </si>
  <si>
    <t>"mean of the absolute BP signal, interquartile range, mean distance between axes, median, variance, standard deviation, zero crossing rate, main frequency peak, low and high-frequency band signal power"</t>
  </si>
  <si>
    <t>See Table III</t>
  </si>
  <si>
    <t>See Sec. 5. Absolute acc, angle, distance, transchange, volume, sleep value, vertical feature</t>
  </si>
  <si>
    <t>See Appendix B</t>
  </si>
  <si>
    <t>See Table II</t>
  </si>
  <si>
    <t>"We apply five statistics features on each three time series in a window – (1) mode, (2) max, (3) median, (4) lower quartile, and (5) standard deviation. Hence, we have 15 combinations possible, i.e., each axis (3) paired with each of the statistical features (5). Please note that we have considered the rawsensors values, and no filter was applied before sending it for calculating the statistical features." and "This feature is found using the formula amag = a2 x + a2 y + a2 z. So given the individual axis of the accelerometer, we can find out its magnitude for a given time instant. For this feature as well, we find out the same five statistical features (mode, max, median, lower quartile, and standard deviation) for each window wi ∈ W. There is no filter used before finding the magnitude here as well."</t>
  </si>
  <si>
    <t>"For the wrist-worn sensor, only the magnitude of the 3D acceleration and angular velocity vectors were selected as inputs to the sliding window procedure. For the smartphoneembedded IMU, we used the magnitude of the 3D angular velocity vector and the magnitudes of the projections of the 3D acceleration vector onto the X-Z plane and on the Y axis. Subsequently, we extracted the following time-domain and frequency domain features: 1) Time-domain features: The Mean, maximum (Max), and minimum (Min) values were extracted from each signal, for each data window. We also calculated the variance (Var) of the signal within each data window. 2) Frequency-domain features: The Fast Fourier Transform (FFT) was performed on each data window, from which the dominant frequency (DomFreq) and the spectral power (SpecPow) were determined. Furthermore, we computed the spectral entropy (SpecEnt) as the Shannon entropy of the normalized power distribution in the frequency domain [29]." (Sec IV)</t>
  </si>
  <si>
    <t>See Supplemental Table 1</t>
  </si>
  <si>
    <t>"Finally, a 37-dimensional feature vector is used and calculated for each window for SVM training and prediction. The final features include: 1) Mean, variance, and root mean square values of the acceleration values on each of Cx, Cy, Cz and CE respectively. 2) Pearson correlation coefficients between all combinations of Cx, Cy, Cz and CE, frequency domain entropy, and the PSD from FFT values. 3) Difference between maximum and minimum accelerations on each axis (dx, dy, dz, dE), and the following 5 features [11]:"</t>
  </si>
  <si>
    <t>"In the pre-processing phase, we extracted two time-domain features for these sensors: average and standard deviation."</t>
  </si>
  <si>
    <t>"During the features extraction, the sliding window passes over the data and, for each axis (X, Y, Z), different measures are extracted from the data contained in the window: mean, variance, standard deviation, median absolute deviation, percentiles (10Th, 25Th, 75Th, 90Th), obtaining a total of 24 features."</t>
  </si>
  <si>
    <t>"From the acceleration time series in each window, we extracted a set of 120 summary features to represent the acceleration (x, y, z, t), jerk (x, y, z, t), angular velocity and inclination angle (x, y, z) signals. The features derived were time-domain (mean, standard deviation, kurtosis, skewness, root mean square, interquartile range, power spectral density) and frequency-domain (energy, max frequency, max 2nd frequency, mean frequency, entropy). A reduced number of linear combinations of these features were selected using principal component analysis (PCA). "</t>
  </si>
  <si>
    <t>See Sec. Signal Processing. "We worked out 14 variables for each axis (that is, X, Y, Z and resultant vector) at 4, 5, 6 and 7 min for each activity. The s.d., variance and the 10th, 25th, 50th, 75th and 90th percentiles, interquartile range and the range between the 10th and 90th percentiles were calculated in the time domain. The lag-one correlation of each min was also worked out as a measure of temporal dynamics."</t>
  </si>
  <si>
    <t xml:space="preserve">"Some useful motion features of these 4 seconds data blocks such as the energies, the time indices corresponding to the zero crossing points as well as the time indices of the crossing points of three different threshold values are extracted. Based on these motion feature vectors, a k means clustering algorithm [13] with the one norm operator as the criterion is performed for assigning the feature vectors [14]. Here, the feature vectors are classified into 9 clusters. Since the features are related to the energies and the time indices of the crossing points of different threshold values, the obtained cluster labels are related to the magnitudes of the motions." 
See Figure 3.4 </t>
  </si>
  <si>
    <t>"The features used were those reported by Kwapisz [15], being: per-channel arithmetic mean, standard deviation, minimum and maximum, as well as the RMS magnitude for each sensor and the binned histogram. "</t>
  </si>
  <si>
    <t>"we extract six features from each window, consisting of mean, correlation between axes, mean absolute deviation, root mean square, variance and standard deviation. These features are usually extracted from the triaxial acceleration data [8], [9], [10]"</t>
  </si>
  <si>
    <t>"Then, statistical features were extracted from the segments including mean, maximum, minimax, standard derivation, kurtosis, and skewness. Substantially, the features were standardized by removing the mean and scaling to unit variance"</t>
  </si>
  <si>
    <t>See Section IIC</t>
  </si>
  <si>
    <t>See Table 5</t>
  </si>
  <si>
    <t>"From ACC signals, both time and frequency domain features were extracted. In the time domain, features were the mean and standard deviation of the absolute value of each axis. Absolute values were used since the subjects were wearing the device on either the left or right wrists depending on which one was their dominant hand. From the three ACC axes, signal magnitude area (SMA), mean, standard deviation, median, mean absolute deviation and the median absolute deviation of signal magnitude vector (SMV), as well as correlations between each pair of the three axes were calculated [6]. In the frequency domain, the relative energy of each axis in different frequency bands ((0 − 1], (1 − 2],(2 − 3],(3 − 4],(4 − 5],(5 − 6],(6 − 7],(7 − 8],(8 − 9],(9 − 10],(10 − 12.5) Hz) was computed for each window using short-time Fourier transform (STFT). In addition, the dominant frequency and its magnitude in the whole frequency range (0 − 12.5 Hz) of each axis in each window were computed"</t>
  </si>
  <si>
    <t>See Sec. 2.4</t>
  </si>
  <si>
    <t>"Time and frequency domain characteristics of the signal (main, median, variance, skewness, kurtosis, peak frequency, and peak power) were used as features"</t>
  </si>
  <si>
    <t>See Table 2 for SEH. N/A for Acc.</t>
  </si>
  <si>
    <t>See Sec. Feature Extraction, Data Processing and Algortihm Development</t>
  </si>
  <si>
    <t>"Using the data in a time window as an instance we extract features including mean of the acceleration in three axes, the correlation between three axes, and the spectrum energy"</t>
  </si>
  <si>
    <t>"3) Feature extraction: Entails extracting meaningful features from the segmented data. We use the open-source library Time Series Feature Extraction Library (TSFEL) [16] to perform feature extraction in the time, frequency, and spectral domains. TSFEL provides a comprehensive set of over 200 time-series features, including both standard and advanced statistical features per each segment. 4) Feature Selection: A decision tree-based feature selection optimizes the feature set, identifying the most informative features while eliminating redundant ones to improve the HAR model’s accuracy and generalization capabilities. Moreover, this reduces the training time, memory usage, model size, and inference time."</t>
  </si>
  <si>
    <t>"In the pre-processing phase, we extracted two time-domain features for these sensors: mean and standard deviation. We selected these two features because they have low complexity and have been shown to provide reasonable recognition accuracy for various activities [12,30]. Moreover, we did not want to use a more complex feature set blindly before evaluating a viable simple one. These features were extracted over a window of 2, 5, 10, 15, 20, 25 and 30 s with no overlap. The orientation of motion sensors can affect the recognition performance of various activities [31]. To counter such effects, we use the magnitude of these sensors as an extra dimension besides the x, y and z axes. This method has shown to be effective in other studies [31–33]. Then, the mean and standard deviation are extracted for all four dimensions of each sensor. For some specific optimizations, as discussed in Section 4.4, we also extracted five additional features: minimum, maximum, semi-quartile, median and the sum of the first ten FFT (Fast Fourier Transform) coefficients. We selected these features based on the literature study [30] and on the manual analysis of our raw data. As discussed in Section 4.4, these features provide additional information about various activities and are suitable for running on mobile phones because of their low complexities [30]."</t>
  </si>
  <si>
    <t>See Table 2 and 3.</t>
  </si>
  <si>
    <t>See Sec. Data processing: physical activity accelerometer—Ngram-based feature representation (Fig 1)</t>
  </si>
  <si>
    <t xml:space="preserve">See Sec. Motion and Orientation Feature Extraction and Table 2. </t>
  </si>
  <si>
    <t>"mean value, standard deviation, kurtosis, peak-to-peak value of X, Y, Z, \alpha and \gamma in each window" (Sec IV.B)</t>
  </si>
  <si>
    <t>"These features include the maximum, the minimum, the mean value, standard deviation σ, skewness S, kurtosis K, correlation coefficient C between three axes, signal magnitude area (SMA), and number of zero crossings which is number of zero crossings in a window after subtracting the window mean value from every window sample."</t>
  </si>
  <si>
    <t>"mean, standard deviation, coefficient of variation, percentiles (10th, 25th, 50th, 75th,90th), lag one autocorrelation, skewness, kurtosis, signal power, log energy, peak intensity, zero crossings, and cross-axis correlation."</t>
  </si>
  <si>
    <t>See Sec. 5.2</t>
  </si>
  <si>
    <t>"In particular, good balance between accuracy and extraction cost is provided by basic time-domain features [17,37], which include: (i) maximum; (ii) median; (iii) minimum; (iv) mean; (v) and variance of the data sequence along the x, y and z axes. Such features, indeed, provide a characterisation of the central tendency of the data distribution (e.g., mean, median), as well as of its dispersion (e.g., maximum, minimum). These time domain features are calculated over a window w for each of the three axes, resulting to 15 features per sensor. In addition to the above, we also employ the Integral of the Modulus of Acceleration (IMA), calculated as in Reference [23]."</t>
  </si>
  <si>
    <t xml:space="preserve">See Sec. Signal Processing and Feature Extraction </t>
  </si>
  <si>
    <t>"Both WISDM dataset and HAPT dataset include the raw data and the extracted features data. 242 features from OPP Gesture dataset and 57 features from Sanitation dataset are extracted manually, including the means, variances and so on. The extracted features datasets are available online."</t>
  </si>
  <si>
    <t>See Sec. 2.2 and 2.3</t>
  </si>
  <si>
    <t>0 (can  vary for spectorograms). See Sec. 3.2</t>
  </si>
  <si>
    <t>N/A (for SVM) .25 (for DTW)</t>
  </si>
  <si>
    <t>SS. In user-mixed experiments, 70/30. In user-independent experiments, data of 4 (for ASTRI Motion dataset) or 5 subjects (for ADL dataset) are selected randomly for testing.</t>
  </si>
  <si>
    <t>SS. Variable split, 25-45% in training set</t>
  </si>
  <si>
    <t>SS. 67/16.5/16.5</t>
  </si>
  <si>
    <t>SS. 70/20/10</t>
  </si>
  <si>
    <t>10-fold CV (with 66/34 split in folds)</t>
  </si>
  <si>
    <t xml:space="preserve">k-fold CV for K = {20, 10, 5, 3, 2} </t>
  </si>
  <si>
    <t>SS. 80/20</t>
  </si>
  <si>
    <t>SS. 70/30</t>
  </si>
  <si>
    <t>SS. 50/20/30 (by participant)</t>
  </si>
  <si>
    <t>10-fold CV (80/20 split within folds)</t>
  </si>
  <si>
    <t xml:space="preserve">SS. 30/50/20 </t>
  </si>
  <si>
    <t>SS. 60/40</t>
  </si>
  <si>
    <t>LOSO CV and 10-fold CV by subject</t>
  </si>
  <si>
    <t>SS: 70/30. 10-fold CV in training; holdout strategy used for evaluation</t>
  </si>
  <si>
    <t>SS. 90/10 by participant</t>
  </si>
  <si>
    <t>5-fold CV (with 8:2 or 7:2:1 in a fold)</t>
  </si>
  <si>
    <t>SS (70/30), 10-fold CV (with 70/30 split in folds), Double LOSO CV</t>
  </si>
  <si>
    <t>5-fold CV (10 participants in a fold)</t>
  </si>
  <si>
    <t>SS. 64/16/24</t>
  </si>
  <si>
    <t>SS. 75/25</t>
  </si>
  <si>
    <t>SS. 50/50</t>
  </si>
  <si>
    <t>6-fold nested CV</t>
  </si>
  <si>
    <t xml:space="preserve">SS. 40/122 (by participant) </t>
  </si>
  <si>
    <t>N/A. They report evaluating using 3 runs with 3 different seeds</t>
  </si>
  <si>
    <t xml:space="preserve">SS. 1/3 (by participant) </t>
  </si>
  <si>
    <t>SS. 60/12/28</t>
  </si>
  <si>
    <t>SS. 50/50 for normal weight (no data from overweight population used in training)</t>
  </si>
  <si>
    <t xml:space="preserve">SS. 70/30 (based on participant ID e.g., P9-12 were used for testing only) </t>
  </si>
  <si>
    <t>10-fold, LOSO CV, leave-one-(watch)model-out CV</t>
  </si>
  <si>
    <t>10 fold CV (with 6 splits per fold?). Unclear description.</t>
  </si>
  <si>
    <t>SS. 65/35</t>
  </si>
  <si>
    <t>SS. 66/34</t>
  </si>
  <si>
    <t>SS. 49/21/30 (70% of data used for training seperated into a 70/30 train/validation set)</t>
  </si>
  <si>
    <t>Weighted F1</t>
  </si>
  <si>
    <t>Accuracy and F1</t>
  </si>
  <si>
    <t>F1 and Weighted F1</t>
  </si>
  <si>
    <t>Accuracy,  Weighted F1</t>
  </si>
  <si>
    <t>Accuracy (sometimes balanced accuracy)</t>
  </si>
  <si>
    <t>Balanced Accuracy</t>
  </si>
  <si>
    <t>Accuracy, Precision, Recall, F1</t>
  </si>
  <si>
    <t>F1, TP, FP, Precision, Recall, and ROC</t>
  </si>
  <si>
    <t>Accuracy, Specificty, and Sensitivity</t>
  </si>
  <si>
    <t>F1, TP, FP, Recall, Precision, ROC</t>
  </si>
  <si>
    <t>Performance of Wrist Accel Only (See…)</t>
  </si>
  <si>
    <t xml:space="preserve">Fig. 2 and 11 </t>
  </si>
  <si>
    <t>Fig. 5</t>
  </si>
  <si>
    <t>Fig. 3</t>
  </si>
  <si>
    <t>Fig. 9 - 11</t>
  </si>
  <si>
    <t>Fig. 5 and 7</t>
  </si>
  <si>
    <t xml:space="preserve">Fig. 2, 3, 4, 5
</t>
  </si>
  <si>
    <t>Fig. 4, 7</t>
  </si>
  <si>
    <t>Table 3 and 8</t>
  </si>
  <si>
    <t>Fig. 7</t>
  </si>
  <si>
    <t>Fig. 6</t>
  </si>
  <si>
    <t>Fig. 8</t>
  </si>
  <si>
    <t>Fig. 1 and 2</t>
  </si>
  <si>
    <t>Fig. 2B</t>
  </si>
  <si>
    <t>Table 1, Table 2, Fig. 1, Table 5</t>
  </si>
  <si>
    <t>Table 5, Fig. 11 and 12</t>
  </si>
  <si>
    <t>Table 3 (without preprocessing), Table 5 (with preprocessing), Table 6 (with prepocessing and modifying the FCN)</t>
  </si>
  <si>
    <t>Fig. 4</t>
  </si>
  <si>
    <t>Table 2 and 3, Fig. 2</t>
  </si>
  <si>
    <t>Table 1, Fig. 5</t>
  </si>
  <si>
    <t xml:space="preserve">Fig. 3, 6 and Table 5, 6
</t>
  </si>
  <si>
    <t>Fig. 1, Table 3</t>
  </si>
  <si>
    <t>Fig. 1</t>
  </si>
  <si>
    <t>Fig. 1 + 2</t>
  </si>
  <si>
    <t>Fig. 5 and 6</t>
  </si>
  <si>
    <t>Sec. 7</t>
  </si>
  <si>
    <t>Fig. 5, Table 4, 6, 7</t>
  </si>
  <si>
    <t>Table 4 and 5</t>
  </si>
  <si>
    <t>Table 5, Fig. 8-9 and 11</t>
  </si>
  <si>
    <t>Fig. 3-6</t>
  </si>
  <si>
    <t>Fig. 5, 6, and 7</t>
  </si>
  <si>
    <t>Table IV</t>
  </si>
  <si>
    <t>Fig. 7-8</t>
  </si>
  <si>
    <t>Sec. V</t>
  </si>
  <si>
    <t>Table 4-9</t>
  </si>
  <si>
    <t>Fig. 10, 11</t>
  </si>
  <si>
    <t>Fig. 4, Table 3</t>
  </si>
  <si>
    <t>Fig. 2 and 3</t>
  </si>
  <si>
    <t>Sec. 4.3</t>
  </si>
  <si>
    <t>Fig. 4 and 5</t>
  </si>
  <si>
    <t xml:space="preserve">Fig. 4
</t>
  </si>
  <si>
    <t>Fig. 6, Table 3, 4</t>
  </si>
  <si>
    <t>Fig. 4A (not aggregate)</t>
  </si>
  <si>
    <t xml:space="preserve">Table 3 </t>
  </si>
  <si>
    <t>Fig. 1B, Table 4</t>
  </si>
  <si>
    <t xml:space="preserve">Table 2 </t>
  </si>
  <si>
    <t>Table 2-5</t>
  </si>
  <si>
    <t>Sec. 3</t>
  </si>
  <si>
    <t>Fig. 2, 4, 6</t>
  </si>
  <si>
    <t>Fig. 2, Table 1, 2, 4</t>
  </si>
  <si>
    <t>N* (not available for wrist)</t>
  </si>
  <si>
    <t>Y (Appendix)</t>
  </si>
  <si>
    <t>N* (not for wrist, but they do have it for other sensors)</t>
  </si>
  <si>
    <t>Y* (lab + simfl within a single dataset)</t>
  </si>
  <si>
    <t>Performance of same Algorithm on Other Datasets (not neccesarily WAO)</t>
  </si>
  <si>
    <t xml:space="preserve">Y* (the authors evaluated their model on FL data but only had ground truth for "lying" (sleeping) in FL) </t>
  </si>
  <si>
    <t>Y* (evaluated within a dataset with two different collection protocols)</t>
  </si>
  <si>
    <t>Y* (only feature extraction, not full algorithm)</t>
  </si>
  <si>
    <t>https://github.com/sztyler/sensorfeatureextraction</t>
  </si>
  <si>
    <t xml:space="preserve">https://github.com/IRC-SPHERE/embedded-features </t>
  </si>
  <si>
    <t>Y* (partially trained network)</t>
  </si>
  <si>
    <t>https://github.com/QUTcparg/Sensors_CP_PersonalisedModels</t>
  </si>
  <si>
    <t>http://www.pr.informatik.uni-siegen.de/en/
human-activity-recognition</t>
  </si>
  <si>
    <t>https://web.engr.oregonstate.edu/~wongwe/research.html</t>
  </si>
  <si>
    <t>Y* (link is broken)</t>
  </si>
  <si>
    <t>Article ID</t>
  </si>
  <si>
    <t>Meta Data</t>
  </si>
  <si>
    <t>Dataset Information</t>
  </si>
  <si>
    <t>HAR Algorithm/Model Information and Preprocessing Steps</t>
  </si>
  <si>
    <t>Base Algorithm/Architecture</t>
  </si>
  <si>
    <t>Compare Mult. Algs?</t>
  </si>
  <si>
    <t>Trained Model Weights (open-weight)</t>
  </si>
  <si>
    <t xml:space="preserve">Replicable? </t>
  </si>
  <si>
    <t>Reproducible?</t>
  </si>
  <si>
    <t>Code?</t>
  </si>
  <si>
    <t>Why not replicable? (Defs in Sec. 4.3.1)</t>
  </si>
  <si>
    <t>Why not reproducible? (Defs in Sec. 4.3.1)</t>
  </si>
  <si>
    <t>Data Public?</t>
  </si>
  <si>
    <t>Collection Protocol</t>
  </si>
  <si>
    <t>"exclusion criteria:  1) age &lt;65 or &gt;85 years, 2) use of any ambulatory assistive device, 3) lower extremity mobility impairment, or 4) presence of any condition that significantly affected ambulation." "Participant characteristics (n = 35, 21 females and 14 males) for the laboratory protocol were age = 70.6 ± 5.0 yr, body mass = 76.4 ± 14.4 kg, height = 168.6 ± 9.9 cm, BMI = 26.8 ± 4.2 kg·m−2, and 400 m walk speed = 1.17 ± 0.18 m·s−1. Participant characteristics (n = 15, 9 females and 6 males) for the free-living protocol were age = 70.0 ± 4.3 yr, body mass = 74.5 ± 11.5 kg, height = 169.8 ± 9.9 cm, BMI = 26.0 ± 4.3 kg·m−2, and 400-m walk speed = 1.20 ± 0.2 m·s−1."</t>
  </si>
  <si>
    <t>Missing Values:</t>
  </si>
  <si>
    <t xml:space="preserve">"The sedentary class encompasses stationary activities such as standing and
sitting. Moderately active activities involve ambulatory motion, primarily represented
by walking. Finally, the active class pertains to more vigorous physical activities, such as
jogging."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</si>
</sst>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sz val="11"/>
      <color theme="1"/>
      <name val="Aptos"/>
    </font>
    <font>
      <u/>
      <sz val="11"/>
      <color theme="10"/>
      <name val="Aptos"/>
    </font>
    <font>
      <sz val="11"/>
      <color rgb="FF000000"/>
      <name val="Aptos"/>
    </font>
    <font>
      <b/>
      <sz val="11"/>
      <color theme="1"/>
      <name val="Aptos"/>
    </font>
    <font>
      <sz val="11"/>
      <color rgb="FF333333"/>
      <name val="Aptos"/>
    </font>
    <font>
      <sz val="11"/>
      <color rgb="FF1A254C"/>
      <name val="Aptos"/>
    </font>
    <font>
      <b/>
      <sz val="11"/>
      <color rgb="FF4F5671"/>
      <name val="Aptos"/>
    </font>
  </fonts>
  <fills count="7">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6">
    <border>
      <left/>
      <right/>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0" fontId="2" fillId="0" borderId="2" xfId="0" applyFont="1" applyBorder="1" applyAlignment="1">
      <alignment horizontal="left" vertical="top" wrapText="1"/>
    </xf>
    <xf numFmtId="0" fontId="4" fillId="0" borderId="2" xfId="0" applyFont="1" applyBorder="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5" fillId="2" borderId="4" xfId="0" applyFont="1" applyFill="1" applyBorder="1" applyAlignment="1">
      <alignment horizontal="center" wrapText="1"/>
    </xf>
    <xf numFmtId="0" fontId="5" fillId="2" borderId="4" xfId="0" applyFont="1" applyFill="1" applyBorder="1" applyAlignment="1">
      <alignment horizontal="left" wrapText="1"/>
    </xf>
    <xf numFmtId="0" fontId="5" fillId="2" borderId="5" xfId="0" applyFont="1" applyFill="1" applyBorder="1" applyAlignment="1">
      <alignment horizontal="left" wrapText="1"/>
    </xf>
    <xf numFmtId="0" fontId="5" fillId="4" borderId="4" xfId="0" applyFont="1" applyFill="1" applyBorder="1" applyAlignment="1">
      <alignment horizontal="left" wrapText="1"/>
    </xf>
    <xf numFmtId="0" fontId="5" fillId="4" borderId="5" xfId="0" applyFont="1" applyFill="1" applyBorder="1" applyAlignment="1">
      <alignment horizontal="left" wrapText="1"/>
    </xf>
    <xf numFmtId="0" fontId="5" fillId="6" borderId="4" xfId="0" applyFont="1" applyFill="1" applyBorder="1" applyAlignment="1">
      <alignment horizontal="left" wrapText="1"/>
    </xf>
    <xf numFmtId="0" fontId="5" fillId="6" borderId="5" xfId="0" applyFont="1" applyFill="1" applyBorder="1" applyAlignment="1">
      <alignment horizontal="left" wrapText="1"/>
    </xf>
    <xf numFmtId="0" fontId="5" fillId="3" borderId="4" xfId="0" applyFont="1" applyFill="1" applyBorder="1" applyAlignment="1">
      <alignment horizontal="left" wrapText="1"/>
    </xf>
    <xf numFmtId="0" fontId="5" fillId="3" borderId="5" xfId="0" applyFont="1" applyFill="1" applyBorder="1" applyAlignment="1">
      <alignment horizontal="left" wrapText="1"/>
    </xf>
    <xf numFmtId="0" fontId="5" fillId="5" borderId="4" xfId="0" applyFont="1" applyFill="1" applyBorder="1" applyAlignment="1">
      <alignment horizontal="left" wrapText="1"/>
    </xf>
    <xf numFmtId="0" fontId="2" fillId="0" borderId="0" xfId="0" applyFont="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4" xfId="0" applyFont="1" applyBorder="1" applyAlignment="1">
      <alignment horizontal="center"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0" fillId="0" borderId="0" xfId="0" applyAlignment="1">
      <alignment wrapText="1"/>
    </xf>
    <xf numFmtId="0" fontId="2" fillId="0" borderId="0" xfId="0" applyFont="1" applyAlignment="1">
      <alignment horizontal="left" wrapText="1"/>
    </xf>
    <xf numFmtId="0" fontId="2" fillId="0" borderId="0" xfId="0" applyFont="1" applyAlignment="1">
      <alignment horizontal="center" vertical="top" wrapText="1"/>
    </xf>
    <xf numFmtId="0" fontId="3" fillId="0" borderId="0" xfId="1" applyFont="1" applyFill="1" applyBorder="1" applyAlignment="1">
      <alignment horizontal="left" vertical="top" wrapText="1"/>
    </xf>
    <xf numFmtId="0" fontId="2" fillId="0" borderId="0" xfId="0" applyFont="1" applyAlignment="1">
      <alignment vertical="top" wrapText="1"/>
    </xf>
    <xf numFmtId="0" fontId="2" fillId="0" borderId="0" xfId="0" quotePrefix="1" applyFont="1" applyAlignment="1">
      <alignment horizontal="left" vertical="top" wrapText="1"/>
    </xf>
    <xf numFmtId="17" fontId="2" fillId="0" borderId="0" xfId="0" applyNumberFormat="1" applyFont="1" applyAlignment="1">
      <alignment horizontal="left" vertical="top" wrapText="1"/>
    </xf>
    <xf numFmtId="0" fontId="4" fillId="0" borderId="0" xfId="0" applyFont="1" applyAlignment="1">
      <alignment horizontal="center" vertical="top" wrapText="1"/>
    </xf>
    <xf numFmtId="0" fontId="0" fillId="0" borderId="0" xfId="0"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16" fontId="2" fillId="0" borderId="0" xfId="0" applyNumberFormat="1" applyFont="1" applyAlignment="1">
      <alignment horizontal="left" vertical="top" wrapText="1"/>
    </xf>
    <xf numFmtId="0" fontId="0" fillId="0" borderId="0" xfId="0" applyAlignment="1">
      <alignment horizontal="left" vertical="top"/>
    </xf>
    <xf numFmtId="0" fontId="8" fillId="0" borderId="0" xfId="0" applyFont="1" applyAlignment="1">
      <alignment horizontal="left" vertical="top" wrapText="1"/>
    </xf>
    <xf numFmtId="0" fontId="0" fillId="0" borderId="0" xfId="0" applyAlignment="1">
      <alignment horizontal="center" wrapText="1"/>
    </xf>
    <xf numFmtId="0" fontId="4" fillId="0" borderId="1" xfId="0" applyFont="1" applyBorder="1" applyAlignment="1">
      <alignment horizontal="left" vertical="top" wrapText="1"/>
    </xf>
    <xf numFmtId="20" fontId="2" fillId="0" borderId="1" xfId="0" applyNumberFormat="1" applyFont="1" applyBorder="1" applyAlignment="1">
      <alignment horizontal="left" vertical="top" wrapText="1"/>
    </xf>
    <xf numFmtId="0" fontId="5" fillId="4" borderId="3" xfId="0" applyFont="1" applyFill="1" applyBorder="1" applyAlignment="1">
      <alignment horizontal="left" wrapText="1"/>
    </xf>
    <xf numFmtId="0" fontId="5" fillId="6" borderId="3" xfId="0" applyFont="1" applyFill="1" applyBorder="1" applyAlignment="1">
      <alignment horizontal="left" wrapText="1"/>
    </xf>
    <xf numFmtId="0" fontId="5" fillId="3" borderId="3" xfId="0" applyFont="1" applyFill="1" applyBorder="1" applyAlignment="1">
      <alignment horizontal="left" wrapText="1"/>
    </xf>
    <xf numFmtId="0" fontId="5"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0" xfId="0" applyFont="1" applyAlignment="1">
      <alignment horizontal="left" vertical="top"/>
    </xf>
    <xf numFmtId="0" fontId="2" fillId="0" borderId="2" xfId="0" applyFont="1" applyBorder="1" applyAlignment="1">
      <alignment horizontal="left" vertical="top"/>
    </xf>
    <xf numFmtId="0" fontId="2" fillId="0" borderId="1" xfId="0" applyFont="1" applyBorder="1" applyAlignment="1">
      <alignment horizontal="left" vertical="top"/>
    </xf>
    <xf numFmtId="0" fontId="2" fillId="0" borderId="0" xfId="0" applyFont="1" applyAlignment="1">
      <alignment horizontal="left" vertical="top" wrapText="1"/>
    </xf>
    <xf numFmtId="0" fontId="4" fillId="0" borderId="2" xfId="0" applyFont="1" applyBorder="1" applyAlignment="1">
      <alignment horizontal="left" vertical="top"/>
    </xf>
    <xf numFmtId="0" fontId="4" fillId="0" borderId="1" xfId="0" applyFont="1" applyBorder="1" applyAlignment="1">
      <alignment horizontal="left" vertical="top"/>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center" vertical="top" wrapText="1"/>
    </xf>
    <xf numFmtId="0" fontId="2" fillId="0" borderId="0" xfId="0" applyFont="1" applyAlignment="1">
      <alignment vertical="top" wrapText="1"/>
    </xf>
    <xf numFmtId="0" fontId="3" fillId="0" borderId="0" xfId="1" applyFont="1" applyFill="1" applyBorder="1" applyAlignment="1">
      <alignment horizontal="left" vertical="top" wrapText="1"/>
    </xf>
    <xf numFmtId="0" fontId="4" fillId="0" borderId="0" xfId="0" applyFont="1" applyAlignment="1">
      <alignment horizontal="left" vertical="top" wrapText="1"/>
    </xf>
    <xf numFmtId="0" fontId="5" fillId="5" borderId="0" xfId="0" applyFont="1" applyFill="1" applyAlignment="1">
      <alignment horizontal="center" vertical="top" wrapText="1"/>
    </xf>
    <xf numFmtId="0" fontId="5" fillId="2" borderId="0" xfId="0" applyFont="1" applyFill="1" applyAlignment="1">
      <alignment horizontal="center" vertical="top" wrapText="1"/>
    </xf>
    <xf numFmtId="0" fontId="5" fillId="2" borderId="2"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4" borderId="0" xfId="0" applyFont="1" applyFill="1" applyAlignment="1">
      <alignment horizontal="center" vertical="top" wrapText="1"/>
    </xf>
    <xf numFmtId="0" fontId="5" fillId="4" borderId="2"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6" borderId="0" xfId="0" applyFont="1" applyFill="1" applyAlignment="1">
      <alignment horizontal="center" vertical="top" wrapText="1"/>
    </xf>
    <xf numFmtId="0" fontId="5" fillId="6" borderId="2" xfId="0" applyFont="1" applyFill="1" applyBorder="1" applyAlignment="1">
      <alignment horizontal="center" vertical="top" wrapText="1"/>
    </xf>
    <xf numFmtId="0" fontId="5" fillId="3" borderId="1" xfId="0" applyFont="1" applyFill="1" applyBorder="1" applyAlignment="1">
      <alignment horizontal="center" vertical="top" wrapText="1"/>
    </xf>
    <xf numFmtId="0" fontId="5" fillId="3" borderId="0" xfId="0" applyFont="1" applyFill="1" applyAlignment="1">
      <alignment horizontal="center" vertical="top" wrapText="1"/>
    </xf>
    <xf numFmtId="0" fontId="5" fillId="3" borderId="2"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eeexplore.ieee.org/xpl/conhome/9623060/proceeding" TargetMode="External"/><Relationship Id="rId21" Type="http://schemas.openxmlformats.org/officeDocument/2006/relationships/hyperlink" Target="https://doi.org/10.1109/JSEN.2023.3338264" TargetMode="External"/><Relationship Id="rId42" Type="http://schemas.openxmlformats.org/officeDocument/2006/relationships/hyperlink" Target="https://doi.org/10.1016/j.engappai.2018.04.002" TargetMode="External"/><Relationship Id="rId47" Type="http://schemas.openxmlformats.org/officeDocument/2006/relationships/hyperlink" Target="https://doi.org/10.1145/2674396.2674446" TargetMode="External"/><Relationship Id="rId63" Type="http://schemas.openxmlformats.org/officeDocument/2006/relationships/hyperlink" Target="https://doi.org/10.1109/ACCESS.2019.2920969" TargetMode="External"/><Relationship Id="rId68" Type="http://schemas.openxmlformats.org/officeDocument/2006/relationships/hyperlink" Target="https://doi.org/10.1016/j.compbiomed.2021.104633" TargetMode="External"/><Relationship Id="rId84" Type="http://schemas.openxmlformats.org/officeDocument/2006/relationships/hyperlink" Target="https://github.com/QUTcparg/PS_PAClassification" TargetMode="External"/><Relationship Id="rId16" Type="http://schemas.openxmlformats.org/officeDocument/2006/relationships/hyperlink" Target="https://doi.org/10.3390/s23135845" TargetMode="External"/><Relationship Id="rId11" Type="http://schemas.openxmlformats.org/officeDocument/2006/relationships/hyperlink" Target="https://doi.org/10.3390/s22197482" TargetMode="External"/><Relationship Id="rId32" Type="http://schemas.openxmlformats.org/officeDocument/2006/relationships/hyperlink" Target="https://doi.org/10.1145/3460421.3480419" TargetMode="External"/><Relationship Id="rId37" Type="http://schemas.openxmlformats.org/officeDocument/2006/relationships/hyperlink" Target="https://doi.org/10.1145/3410531.3414311" TargetMode="External"/><Relationship Id="rId53" Type="http://schemas.openxmlformats.org/officeDocument/2006/relationships/hyperlink" Target="https://doi.org/10.4108/icst.bodynets.2013.253623" TargetMode="External"/><Relationship Id="rId58" Type="http://schemas.openxmlformats.org/officeDocument/2006/relationships/hyperlink" Target="https://doi.org/10.1145/3014812.3014875" TargetMode="External"/><Relationship Id="rId74" Type="http://schemas.openxmlformats.org/officeDocument/2006/relationships/hyperlink" Target="https://doi.org/10.3390/s23042278" TargetMode="External"/><Relationship Id="rId79" Type="http://schemas.openxmlformats.org/officeDocument/2006/relationships/hyperlink" Target="https://mhealth.jmir.org/search?term=Anis%20Davoudi&amp;type=author&amp;precise=true&amp;authorlink=true" TargetMode="External"/><Relationship Id="rId5" Type="http://schemas.openxmlformats.org/officeDocument/2006/relationships/hyperlink" Target="https://doi.org/10.1109/DSD51259.2020.00057" TargetMode="External"/><Relationship Id="rId19" Type="http://schemas.openxmlformats.org/officeDocument/2006/relationships/hyperlink" Target="https://doi.org/10.1016/j.patrec.2016.01.001" TargetMode="External"/><Relationship Id="rId14" Type="http://schemas.openxmlformats.org/officeDocument/2006/relationships/hyperlink" Target="https://doi.org/10.1109/DCOSS54816.2022.00017" TargetMode="External"/><Relationship Id="rId22" Type="http://schemas.openxmlformats.org/officeDocument/2006/relationships/hyperlink" Target="https://doi.org/10.1016/j.jbi.2022.104180" TargetMode="External"/><Relationship Id="rId27" Type="http://schemas.openxmlformats.org/officeDocument/2006/relationships/hyperlink" Target="https://doi.org/10.1109/IEMCON53756.2021.9623228" TargetMode="External"/><Relationship Id="rId30" Type="http://schemas.openxmlformats.org/officeDocument/2006/relationships/hyperlink" Target="https://cloud.ilabt.imec.be/index.php/s/2zkXxEDTTQgkN5y" TargetMode="External"/><Relationship Id="rId35" Type="http://schemas.openxmlformats.org/officeDocument/2006/relationships/hyperlink" Target="https://doi.org/10.1145/3380985" TargetMode="External"/><Relationship Id="rId43" Type="http://schemas.openxmlformats.org/officeDocument/2006/relationships/hyperlink" Target="https://doi.org/10.1109/JIOT.2015.2389335" TargetMode="External"/><Relationship Id="rId48" Type="http://schemas.openxmlformats.org/officeDocument/2006/relationships/hyperlink" Target="https://doi.org/10.1109/WETICE53228.2021.00039" TargetMode="External"/><Relationship Id="rId56" Type="http://schemas.openxmlformats.org/officeDocument/2006/relationships/hyperlink" Target="https://doi.org/10.3390/s20061655" TargetMode="External"/><Relationship Id="rId64" Type="http://schemas.openxmlformats.org/officeDocument/2006/relationships/hyperlink" Target="https://doi.org/10.3390/s18020613" TargetMode="External"/><Relationship Id="rId69" Type="http://schemas.openxmlformats.org/officeDocument/2006/relationships/hyperlink" Target="https://doi.org/10.1145/3594739.3610743" TargetMode="External"/><Relationship Id="rId77" Type="http://schemas.openxmlformats.org/officeDocument/2006/relationships/hyperlink" Target="https://doi.org/10.1109/ACCESS.2021.3100580" TargetMode="External"/><Relationship Id="rId8" Type="http://schemas.openxmlformats.org/officeDocument/2006/relationships/hyperlink" Target="https://doi.org/10.1109/SSCI.2015.52" TargetMode="External"/><Relationship Id="rId51" Type="http://schemas.openxmlformats.org/officeDocument/2006/relationships/hyperlink" Target="https://doi.org/10.3390/s130709183" TargetMode="External"/><Relationship Id="rId72" Type="http://schemas.openxmlformats.org/officeDocument/2006/relationships/hyperlink" Target="https://doi.org/10.1016/j.pmcj.2019.03.006" TargetMode="External"/><Relationship Id="rId80" Type="http://schemas.openxmlformats.org/officeDocument/2006/relationships/hyperlink" Target="https://github.com/sztyler/sensorfeatureextraction" TargetMode="External"/><Relationship Id="rId85" Type="http://schemas.openxmlformats.org/officeDocument/2006/relationships/hyperlink" Target="http://www.pr.informatik.uni-siegen.de/en/human-activity-recognition" TargetMode="External"/><Relationship Id="rId3" Type="http://schemas.openxmlformats.org/officeDocument/2006/relationships/hyperlink" Target="https://doi.org/10.1016/j.micpro.2021.104371" TargetMode="External"/><Relationship Id="rId12" Type="http://schemas.openxmlformats.org/officeDocument/2006/relationships/hyperlink" Target="https://doi.org/10.3390/s22145222" TargetMode="External"/><Relationship Id="rId17" Type="http://schemas.openxmlformats.org/officeDocument/2006/relationships/hyperlink" Target="https://doi.org/10.1109/EMBC46164.2021.9630462" TargetMode="External"/><Relationship Id="rId25" Type="http://schemas.openxmlformats.org/officeDocument/2006/relationships/hyperlink" Target="https://doi.org/10.1109/JSEN.2021.3089579" TargetMode="External"/><Relationship Id="rId33" Type="http://schemas.openxmlformats.org/officeDocument/2006/relationships/hyperlink" Target="https://doi.org/10.1145/3503161.3551598" TargetMode="External"/><Relationship Id="rId38" Type="http://schemas.openxmlformats.org/officeDocument/2006/relationships/hyperlink" Target="https://doi.org/10.1109/RI2C51727.2021.9559773" TargetMode="External"/><Relationship Id="rId46" Type="http://schemas.openxmlformats.org/officeDocument/2006/relationships/hyperlink" Target="https://doi.org/10.3390/s20164364" TargetMode="External"/><Relationship Id="rId59" Type="http://schemas.openxmlformats.org/officeDocument/2006/relationships/hyperlink" Target="https://doi.org/10.1016/j.inffus.2017.01.004" TargetMode="External"/><Relationship Id="rId67" Type="http://schemas.openxmlformats.org/officeDocument/2006/relationships/hyperlink" Target="https://archive.ics.uci.edu/dataset/521/selfback" TargetMode="External"/><Relationship Id="rId20" Type="http://schemas.openxmlformats.org/officeDocument/2006/relationships/hyperlink" Target="https://doi.org/10.3390/s17030529" TargetMode="External"/><Relationship Id="rId41" Type="http://schemas.openxmlformats.org/officeDocument/2006/relationships/hyperlink" Target="https://doi.org/10.3390/s20071858" TargetMode="External"/><Relationship Id="rId54" Type="http://schemas.openxmlformats.org/officeDocument/2006/relationships/hyperlink" Target="https://doi.org/10.3390/s18113893" TargetMode="External"/><Relationship Id="rId62" Type="http://schemas.openxmlformats.org/officeDocument/2006/relationships/hyperlink" Target="https://doi.org/10.1109/CHASE52844.2021.00019" TargetMode="External"/><Relationship Id="rId70" Type="http://schemas.openxmlformats.org/officeDocument/2006/relationships/hyperlink" Target="https://doi.org/10.1109/FSKD.2017.8393329" TargetMode="External"/><Relationship Id="rId75" Type="http://schemas.openxmlformats.org/officeDocument/2006/relationships/hyperlink" Target="https://doi.org/10.1109/JSYST.2022.3153503" TargetMode="External"/><Relationship Id="rId83" Type="http://schemas.openxmlformats.org/officeDocument/2006/relationships/hyperlink" Target="https://github.com/dmbee/fcn-core" TargetMode="External"/><Relationship Id="rId1" Type="http://schemas.openxmlformats.org/officeDocument/2006/relationships/hyperlink" Target="https://doi.org/10.1145/3494994" TargetMode="External"/><Relationship Id="rId6" Type="http://schemas.openxmlformats.org/officeDocument/2006/relationships/hyperlink" Target="https://doi.org/10.3390/s22208060" TargetMode="External"/><Relationship Id="rId15" Type="http://schemas.openxmlformats.org/officeDocument/2006/relationships/hyperlink" Target="https://doi.org/10.3390/s18072146" TargetMode="External"/><Relationship Id="rId23" Type="http://schemas.openxmlformats.org/officeDocument/2006/relationships/hyperlink" Target="https://doi.org/10.1109/JBHI.2018.2869779" TargetMode="External"/><Relationship Id="rId28" Type="http://schemas.openxmlformats.org/officeDocument/2006/relationships/hyperlink" Target="https://ieeexplore.ieee.org/author/37088595154" TargetMode="External"/><Relationship Id="rId36" Type="http://schemas.openxmlformats.org/officeDocument/2006/relationships/hyperlink" Target="https://doi.org/10.1109/RI2C60382.2023.10356022" TargetMode="External"/><Relationship Id="rId49" Type="http://schemas.openxmlformats.org/officeDocument/2006/relationships/hyperlink" Target="https://doi.org/10.1109/SWC50871.2021.00014" TargetMode="External"/><Relationship Id="rId57" Type="http://schemas.openxmlformats.org/officeDocument/2006/relationships/hyperlink" Target="https://doi.org/10.3390/s21196677" TargetMode="External"/><Relationship Id="rId10" Type="http://schemas.openxmlformats.org/officeDocument/2006/relationships/hyperlink" Target="https://doi.org/10.1109/AQTR55203.2022.9801919" TargetMode="External"/><Relationship Id="rId31" Type="http://schemas.openxmlformats.org/officeDocument/2006/relationships/hyperlink" Target="https://doi.org/10.3390/s16060800" TargetMode="External"/><Relationship Id="rId44" Type="http://schemas.openxmlformats.org/officeDocument/2006/relationships/hyperlink" Target="https://doi.org/10.1109/ICOS.2018.8632818" TargetMode="External"/><Relationship Id="rId52" Type="http://schemas.openxmlformats.org/officeDocument/2006/relationships/hyperlink" Target="https://doi.org/10.1109/CSE-EUC.2017.148" TargetMode="External"/><Relationship Id="rId60" Type="http://schemas.openxmlformats.org/officeDocument/2006/relationships/hyperlink" Target="https://doi.org/10.1109/CVPRW.2018.00075" TargetMode="External"/><Relationship Id="rId65" Type="http://schemas.openxmlformats.org/officeDocument/2006/relationships/hyperlink" Target="https://doi.org/10.1109/PERCOM.2016.7456521" TargetMode="External"/><Relationship Id="rId73" Type="http://schemas.openxmlformats.org/officeDocument/2006/relationships/hyperlink" Target="https://doi.org/10.1109/INDIN45582.2020.9442172" TargetMode="External"/><Relationship Id="rId78" Type="http://schemas.openxmlformats.org/officeDocument/2006/relationships/hyperlink" Target="https://doi.org/10.1109/ISIE.2009.5222001" TargetMode="External"/><Relationship Id="rId81" Type="http://schemas.openxmlformats.org/officeDocument/2006/relationships/hyperlink" Target="https://github.com/IRC-SPHERE/embedded-features" TargetMode="External"/><Relationship Id="rId86" Type="http://schemas.openxmlformats.org/officeDocument/2006/relationships/hyperlink" Target="https://github.com/sztyler/sensorfeatureextraction" TargetMode="External"/><Relationship Id="rId4" Type="http://schemas.openxmlformats.org/officeDocument/2006/relationships/hyperlink" Target="https://doi.org/10.3390/s21216997" TargetMode="External"/><Relationship Id="rId9" Type="http://schemas.openxmlformats.org/officeDocument/2006/relationships/hyperlink" Target="https://doi.org/10.1016/j.smhl.2023.100431" TargetMode="External"/><Relationship Id="rId13" Type="http://schemas.openxmlformats.org/officeDocument/2006/relationships/hyperlink" Target="https://doi.org/10.1109/TCSI.2020.3011984" TargetMode="External"/><Relationship Id="rId18" Type="http://schemas.openxmlformats.org/officeDocument/2006/relationships/hyperlink" Target="https://doi.org/10.1109/EMBC.2019.8857288" TargetMode="External"/><Relationship Id="rId39" Type="http://schemas.openxmlformats.org/officeDocument/2006/relationships/hyperlink" Target="https://doi.org/10.3390/s24144444" TargetMode="External"/><Relationship Id="rId34" Type="http://schemas.openxmlformats.org/officeDocument/2006/relationships/hyperlink" Target="https://doi.org/10.3390/s24041238" TargetMode="External"/><Relationship Id="rId50" Type="http://schemas.openxmlformats.org/officeDocument/2006/relationships/hyperlink" Target="https://doi.org/10.3390/s20143976" TargetMode="External"/><Relationship Id="rId55" Type="http://schemas.openxmlformats.org/officeDocument/2006/relationships/hyperlink" Target="https://doi.org/10.1109/IECBES.2016.7843493" TargetMode="External"/><Relationship Id="rId76" Type="http://schemas.openxmlformats.org/officeDocument/2006/relationships/hyperlink" Target="https://doi.org/10.3390/s19163468" TargetMode="External"/><Relationship Id="rId7" Type="http://schemas.openxmlformats.org/officeDocument/2006/relationships/hyperlink" Target="https://doi.org/10.1016/j.ijmediN/A.2023.105004" TargetMode="External"/><Relationship Id="rId71" Type="http://schemas.openxmlformats.org/officeDocument/2006/relationships/hyperlink" Target="https://cs.au.dk/~allans/heterogenity/" TargetMode="External"/><Relationship Id="rId2" Type="http://schemas.openxmlformats.org/officeDocument/2006/relationships/hyperlink" Target="https://doi.org/10.1016/j.eswa.2012.01.164" TargetMode="External"/><Relationship Id="rId29" Type="http://schemas.openxmlformats.org/officeDocument/2006/relationships/hyperlink" Target="https://doi.org/10.1109/ICITEE59582.2023.10317707" TargetMode="External"/><Relationship Id="rId24" Type="http://schemas.openxmlformats.org/officeDocument/2006/relationships/hyperlink" Target="https://doi.org/10.1109/JSEN.2021.3113908" TargetMode="External"/><Relationship Id="rId40" Type="http://schemas.openxmlformats.org/officeDocument/2006/relationships/hyperlink" Target="https://dl.acm.org/doi/abs/10.5555/3234847.3234868" TargetMode="External"/><Relationship Id="rId45" Type="http://schemas.openxmlformats.org/officeDocument/2006/relationships/hyperlink" Target="https://pubmed.ncbi.nlm.nih.gov/?term=%22Shojaedini%20SV%22%5BAuthor%5D" TargetMode="External"/><Relationship Id="rId66" Type="http://schemas.openxmlformats.org/officeDocument/2006/relationships/hyperlink" Target="https://doi.org/10.3390/s17040774" TargetMode="External"/><Relationship Id="rId87" Type="http://schemas.openxmlformats.org/officeDocument/2006/relationships/hyperlink" Target="https://github.com/zhangzhao156/Human-Activity-Recognition-Codes-Datasets" TargetMode="External"/><Relationship Id="rId61" Type="http://schemas.openxmlformats.org/officeDocument/2006/relationships/hyperlink" Target="https://doi.org/10.1109/BHI.2016.7455925" TargetMode="External"/><Relationship Id="rId82" Type="http://schemas.openxmlformats.org/officeDocument/2006/relationships/hyperlink" Target="https://github.com/OxWearables/ssl-wearables?tab=readme-ov-f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65"/>
  <sheetViews>
    <sheetView tabSelected="1" zoomScale="125" workbookViewId="0">
      <pane xSplit="2" ySplit="2" topLeftCell="O82" activePane="bottomRight" state="frozen"/>
      <selection pane="topRight" activeCell="D1" sqref="D1"/>
      <selection pane="bottomLeft" activeCell="A3" sqref="A3"/>
      <selection pane="bottomRight" activeCell="S84" sqref="S84"/>
    </sheetView>
  </sheetViews>
  <sheetFormatPr baseColWidth="10" defaultColWidth="8.83203125" defaultRowHeight="15" x14ac:dyDescent="0.2"/>
  <cols>
    <col min="1" max="1" width="8.83203125" style="35"/>
    <col min="2" max="2" width="27.33203125" style="21" customWidth="1"/>
    <col min="3" max="3" width="16.1640625" style="21" customWidth="1"/>
    <col min="4" max="4" width="18.83203125" style="21" customWidth="1"/>
    <col min="5" max="6" width="8.83203125" style="21"/>
    <col min="7" max="7" width="16.33203125" style="21" customWidth="1"/>
    <col min="8" max="8" width="15.5" style="21" customWidth="1"/>
    <col min="9" max="9" width="13.1640625" style="21" customWidth="1"/>
    <col min="10" max="10" width="19.6640625" style="21" customWidth="1"/>
    <col min="11" max="11" width="14" style="21" customWidth="1"/>
    <col min="12" max="12" width="19.6640625" style="21" customWidth="1"/>
    <col min="13" max="13" width="21.6640625" style="21" customWidth="1"/>
    <col min="14" max="14" width="36.1640625" style="21" customWidth="1"/>
    <col min="15" max="15" width="21.5" style="21" customWidth="1"/>
    <col min="16" max="16" width="15.6640625" style="21" customWidth="1"/>
    <col min="17" max="17" width="14.6640625" style="21" customWidth="1"/>
    <col min="18" max="18" width="47.6640625" style="21" customWidth="1"/>
    <col min="19" max="19" width="40.6640625" style="21" customWidth="1"/>
    <col min="20" max="20" width="19.6640625" style="21" customWidth="1"/>
    <col min="21" max="21" width="38.6640625" style="21" customWidth="1"/>
    <col min="22" max="22" width="18.5" style="21" customWidth="1"/>
    <col min="23" max="23" width="32.1640625" style="21" customWidth="1"/>
    <col min="24" max="24" width="13.6640625" style="21" customWidth="1"/>
    <col min="25" max="25" width="48" style="21" customWidth="1"/>
    <col min="26" max="26" width="19.5" style="21" customWidth="1"/>
    <col min="27" max="27" width="16.1640625" style="21" customWidth="1"/>
    <col min="28" max="28" width="26.5" style="21" customWidth="1"/>
    <col min="29" max="29" width="18.5" style="21" customWidth="1"/>
    <col min="30" max="30" width="16.1640625" style="21" customWidth="1"/>
    <col min="31" max="31" width="15.33203125" style="21" customWidth="1"/>
    <col min="32" max="32" width="21" style="21" customWidth="1"/>
    <col min="33" max="33" width="17.83203125" style="21" customWidth="1"/>
    <col min="34" max="34" width="20.33203125" style="21" customWidth="1"/>
    <col min="35" max="36" width="14.6640625" style="21" customWidth="1"/>
    <col min="37" max="38" width="14.5" style="21" customWidth="1"/>
    <col min="39" max="40" width="26" style="21" customWidth="1"/>
    <col min="41" max="41" width="19.33203125" style="21" customWidth="1"/>
    <col min="42" max="16384" width="8.83203125" style="21"/>
  </cols>
  <sheetData>
    <row r="1" spans="1:42" x14ac:dyDescent="0.2">
      <c r="A1" s="56" t="s">
        <v>1409</v>
      </c>
      <c r="B1" s="56"/>
      <c r="C1" s="56"/>
      <c r="D1" s="56"/>
      <c r="E1" s="56"/>
      <c r="F1" s="57"/>
      <c r="G1" s="58" t="s">
        <v>1410</v>
      </c>
      <c r="H1" s="59"/>
      <c r="I1" s="59"/>
      <c r="J1" s="59"/>
      <c r="K1" s="59"/>
      <c r="L1" s="59"/>
      <c r="M1" s="59"/>
      <c r="N1" s="59"/>
      <c r="O1" s="59"/>
      <c r="P1" s="59"/>
      <c r="Q1" s="59"/>
      <c r="R1" s="59"/>
      <c r="S1" s="59"/>
      <c r="T1" s="60"/>
      <c r="U1" s="61" t="s">
        <v>1411</v>
      </c>
      <c r="V1" s="62"/>
      <c r="W1" s="62"/>
      <c r="X1" s="62"/>
      <c r="Y1" s="62"/>
      <c r="Z1" s="62"/>
      <c r="AA1" s="63"/>
      <c r="AB1" s="64" t="s">
        <v>0</v>
      </c>
      <c r="AC1" s="65"/>
      <c r="AD1" s="65"/>
      <c r="AE1" s="65"/>
      <c r="AF1" s="65"/>
      <c r="AG1" s="65"/>
      <c r="AH1" s="66"/>
      <c r="AI1" s="55" t="s">
        <v>1</v>
      </c>
      <c r="AJ1" s="55"/>
      <c r="AK1" s="55"/>
      <c r="AL1" s="55"/>
      <c r="AM1" s="55"/>
      <c r="AN1" s="55"/>
      <c r="AO1" s="55"/>
      <c r="AP1" s="3"/>
    </row>
    <row r="2" spans="1:42" ht="64" x14ac:dyDescent="0.2">
      <c r="A2" s="5" t="s">
        <v>1408</v>
      </c>
      <c r="B2" s="6" t="s">
        <v>2</v>
      </c>
      <c r="C2" s="6" t="s">
        <v>1058</v>
      </c>
      <c r="D2" s="6" t="s">
        <v>3</v>
      </c>
      <c r="E2" s="6" t="s">
        <v>4</v>
      </c>
      <c r="F2" s="7" t="s">
        <v>5</v>
      </c>
      <c r="G2" s="38" t="s">
        <v>6</v>
      </c>
      <c r="H2" s="8" t="s">
        <v>1420</v>
      </c>
      <c r="I2" s="8" t="s">
        <v>1059</v>
      </c>
      <c r="J2" s="8" t="s">
        <v>7</v>
      </c>
      <c r="K2" s="8" t="s">
        <v>1068</v>
      </c>
      <c r="L2" s="8" t="s">
        <v>1060</v>
      </c>
      <c r="M2" s="8" t="s">
        <v>8</v>
      </c>
      <c r="N2" s="8" t="s">
        <v>9</v>
      </c>
      <c r="O2" s="8" t="s">
        <v>1421</v>
      </c>
      <c r="P2" s="8" t="s">
        <v>10</v>
      </c>
      <c r="Q2" s="8" t="s">
        <v>11</v>
      </c>
      <c r="R2" s="8" t="s">
        <v>12</v>
      </c>
      <c r="S2" s="8" t="s">
        <v>13</v>
      </c>
      <c r="T2" s="9" t="s">
        <v>14</v>
      </c>
      <c r="U2" s="39" t="s">
        <v>1412</v>
      </c>
      <c r="V2" s="10" t="s">
        <v>1413</v>
      </c>
      <c r="W2" s="10" t="s">
        <v>15</v>
      </c>
      <c r="X2" s="10" t="s">
        <v>16</v>
      </c>
      <c r="Y2" s="10" t="s">
        <v>17</v>
      </c>
      <c r="Z2" s="10" t="s">
        <v>18</v>
      </c>
      <c r="AA2" s="11" t="s">
        <v>19</v>
      </c>
      <c r="AB2" s="40" t="s">
        <v>20</v>
      </c>
      <c r="AC2" s="12" t="s">
        <v>21</v>
      </c>
      <c r="AD2" s="12" t="s">
        <v>1343</v>
      </c>
      <c r="AE2" s="12" t="s">
        <v>22</v>
      </c>
      <c r="AF2" s="12" t="s">
        <v>23</v>
      </c>
      <c r="AG2" s="12" t="s">
        <v>1397</v>
      </c>
      <c r="AH2" s="13" t="s">
        <v>24</v>
      </c>
      <c r="AI2" s="14" t="s">
        <v>1417</v>
      </c>
      <c r="AJ2" s="14" t="s">
        <v>1057</v>
      </c>
      <c r="AK2" s="14" t="s">
        <v>1414</v>
      </c>
      <c r="AL2" s="14" t="s">
        <v>1415</v>
      </c>
      <c r="AM2" s="14" t="s">
        <v>1418</v>
      </c>
      <c r="AN2" s="14" t="s">
        <v>1416</v>
      </c>
      <c r="AO2" s="14" t="s">
        <v>1419</v>
      </c>
      <c r="AP2" s="22"/>
    </row>
    <row r="3" spans="1:42" ht="48" x14ac:dyDescent="0.2">
      <c r="A3" s="23">
        <v>37</v>
      </c>
      <c r="B3" s="4" t="s">
        <v>25</v>
      </c>
      <c r="C3" s="3" t="s">
        <v>26</v>
      </c>
      <c r="D3" s="24" t="s">
        <v>27</v>
      </c>
      <c r="E3" s="3" t="s">
        <v>28</v>
      </c>
      <c r="F3" s="1">
        <v>2017</v>
      </c>
      <c r="G3" s="16" t="s">
        <v>29</v>
      </c>
      <c r="H3" s="3" t="s">
        <v>30</v>
      </c>
      <c r="I3" s="3"/>
      <c r="J3" s="3" t="s">
        <v>31</v>
      </c>
      <c r="K3" s="3" t="s">
        <v>31</v>
      </c>
      <c r="L3" s="3" t="s">
        <v>32</v>
      </c>
      <c r="M3" s="3" t="s">
        <v>1076</v>
      </c>
      <c r="N3" s="3" t="s">
        <v>1077</v>
      </c>
      <c r="O3" s="3" t="s">
        <v>1078</v>
      </c>
      <c r="P3" s="3" t="s">
        <v>33</v>
      </c>
      <c r="Q3" s="3">
        <v>9</v>
      </c>
      <c r="R3" s="3" t="s">
        <v>34</v>
      </c>
      <c r="S3" s="3" t="s">
        <v>31</v>
      </c>
      <c r="T3" s="1" t="s">
        <v>35</v>
      </c>
      <c r="U3" s="16" t="s">
        <v>36</v>
      </c>
      <c r="V3" s="3" t="s">
        <v>30</v>
      </c>
      <c r="W3" s="3" t="s">
        <v>31</v>
      </c>
      <c r="X3" s="3" t="s">
        <v>30</v>
      </c>
      <c r="Y3" s="3" t="s">
        <v>1095</v>
      </c>
      <c r="Z3" s="3" t="s">
        <v>38</v>
      </c>
      <c r="AA3" s="1">
        <v>0</v>
      </c>
      <c r="AB3" s="16" t="s">
        <v>39</v>
      </c>
      <c r="AC3" s="3" t="s">
        <v>40</v>
      </c>
      <c r="AD3" s="3" t="s">
        <v>1345</v>
      </c>
      <c r="AE3" s="3" t="s">
        <v>33</v>
      </c>
      <c r="AF3" s="3" t="s">
        <v>30</v>
      </c>
      <c r="AG3" s="3" t="s">
        <v>33</v>
      </c>
      <c r="AH3" s="1" t="s">
        <v>33</v>
      </c>
      <c r="AI3" s="3" t="s">
        <v>33</v>
      </c>
      <c r="AJ3" s="3"/>
      <c r="AK3" s="3" t="s">
        <v>33</v>
      </c>
      <c r="AL3" s="3" t="s">
        <v>30</v>
      </c>
      <c r="AM3" s="3"/>
      <c r="AN3" s="3" t="s">
        <v>30</v>
      </c>
      <c r="AO3" s="3"/>
      <c r="AP3" s="3"/>
    </row>
    <row r="4" spans="1:42" ht="80" x14ac:dyDescent="0.2">
      <c r="A4" s="23">
        <v>122</v>
      </c>
      <c r="B4" s="3" t="s">
        <v>42</v>
      </c>
      <c r="C4" s="3" t="s">
        <v>43</v>
      </c>
      <c r="D4" s="3" t="s">
        <v>44</v>
      </c>
      <c r="E4" s="3" t="s">
        <v>45</v>
      </c>
      <c r="F4" s="1">
        <v>2016</v>
      </c>
      <c r="G4" s="16" t="s">
        <v>46</v>
      </c>
      <c r="H4" s="3" t="s">
        <v>30</v>
      </c>
      <c r="I4" s="3"/>
      <c r="J4" s="3">
        <v>32</v>
      </c>
      <c r="K4" s="3" t="s">
        <v>31</v>
      </c>
      <c r="L4" s="3" t="s">
        <v>31</v>
      </c>
      <c r="M4" s="3">
        <v>16</v>
      </c>
      <c r="N4" s="3" t="s">
        <v>31</v>
      </c>
      <c r="O4" s="3" t="s">
        <v>47</v>
      </c>
      <c r="P4" s="3" t="s">
        <v>33</v>
      </c>
      <c r="Q4" s="3">
        <v>12</v>
      </c>
      <c r="R4" s="3" t="s">
        <v>48</v>
      </c>
      <c r="S4" s="3" t="s">
        <v>31</v>
      </c>
      <c r="T4" s="1" t="s">
        <v>49</v>
      </c>
      <c r="U4" s="16" t="s">
        <v>50</v>
      </c>
      <c r="V4" s="3" t="s">
        <v>51</v>
      </c>
      <c r="W4" s="3" t="s">
        <v>31</v>
      </c>
      <c r="X4" s="3" t="s">
        <v>30</v>
      </c>
      <c r="Y4" s="3" t="s">
        <v>1231</v>
      </c>
      <c r="Z4" s="3">
        <v>4</v>
      </c>
      <c r="AA4" s="1" t="s">
        <v>31</v>
      </c>
      <c r="AB4" s="16" t="s">
        <v>74</v>
      </c>
      <c r="AC4" s="3" t="s">
        <v>40</v>
      </c>
      <c r="AD4" s="3" t="s">
        <v>1344</v>
      </c>
      <c r="AE4" s="3" t="s">
        <v>52</v>
      </c>
      <c r="AF4" s="3" t="s">
        <v>33</v>
      </c>
      <c r="AG4" s="3" t="s">
        <v>30</v>
      </c>
      <c r="AH4" s="1" t="s">
        <v>33</v>
      </c>
      <c r="AI4" s="3" t="s">
        <v>33</v>
      </c>
      <c r="AJ4" s="3"/>
      <c r="AK4" s="3" t="s">
        <v>33</v>
      </c>
      <c r="AL4" s="3" t="s">
        <v>33</v>
      </c>
      <c r="AM4" s="3" t="s">
        <v>1035</v>
      </c>
      <c r="AN4" s="3" t="s">
        <v>33</v>
      </c>
      <c r="AO4" s="3" t="s">
        <v>64</v>
      </c>
      <c r="AP4" s="3"/>
    </row>
    <row r="5" spans="1:42" ht="32" x14ac:dyDescent="0.2">
      <c r="A5" s="51">
        <v>51</v>
      </c>
      <c r="B5" s="54" t="s">
        <v>53</v>
      </c>
      <c r="C5" s="46" t="s">
        <v>54</v>
      </c>
      <c r="D5" s="46" t="s">
        <v>55</v>
      </c>
      <c r="E5" s="46" t="s">
        <v>56</v>
      </c>
      <c r="F5" s="49">
        <v>2019</v>
      </c>
      <c r="G5" s="16" t="s">
        <v>57</v>
      </c>
      <c r="H5" s="3" t="s">
        <v>30</v>
      </c>
      <c r="I5" s="46"/>
      <c r="J5" s="3">
        <v>52</v>
      </c>
      <c r="K5" s="3" t="s">
        <v>31</v>
      </c>
      <c r="L5" s="3" t="s">
        <v>58</v>
      </c>
      <c r="M5" s="3">
        <v>11</v>
      </c>
      <c r="N5" s="3" t="s">
        <v>59</v>
      </c>
      <c r="O5" s="3" t="s">
        <v>31</v>
      </c>
      <c r="P5" s="3" t="s">
        <v>33</v>
      </c>
      <c r="Q5" s="3">
        <v>5</v>
      </c>
      <c r="R5" s="3" t="s">
        <v>60</v>
      </c>
      <c r="S5" s="3" t="s">
        <v>31</v>
      </c>
      <c r="T5" s="1" t="s">
        <v>31</v>
      </c>
      <c r="U5" s="50" t="s">
        <v>61</v>
      </c>
      <c r="V5" s="46" t="s">
        <v>30</v>
      </c>
      <c r="W5" s="46" t="s">
        <v>31</v>
      </c>
      <c r="X5" s="46" t="s">
        <v>30</v>
      </c>
      <c r="Y5" s="46" t="s">
        <v>1232</v>
      </c>
      <c r="Z5" s="46">
        <v>5</v>
      </c>
      <c r="AA5" s="49" t="s">
        <v>31</v>
      </c>
      <c r="AB5" s="50" t="s">
        <v>1300</v>
      </c>
      <c r="AC5" s="46" t="s">
        <v>40</v>
      </c>
      <c r="AD5" s="46" t="s">
        <v>62</v>
      </c>
      <c r="AE5" s="46" t="s">
        <v>30</v>
      </c>
      <c r="AF5" s="46" t="s">
        <v>33</v>
      </c>
      <c r="AG5" s="46" t="s">
        <v>30</v>
      </c>
      <c r="AH5" s="49" t="s">
        <v>33</v>
      </c>
      <c r="AI5" s="3" t="s">
        <v>30</v>
      </c>
      <c r="AJ5" s="46" t="s">
        <v>63</v>
      </c>
      <c r="AK5" s="46" t="s">
        <v>30</v>
      </c>
      <c r="AL5" s="46" t="s">
        <v>30</v>
      </c>
      <c r="AM5" s="46"/>
      <c r="AN5" s="46" t="s">
        <v>30</v>
      </c>
      <c r="AO5" s="46"/>
      <c r="AP5" s="3"/>
    </row>
    <row r="6" spans="1:42" ht="32" x14ac:dyDescent="0.2">
      <c r="A6" s="51"/>
      <c r="B6" s="54"/>
      <c r="C6" s="46"/>
      <c r="D6" s="46"/>
      <c r="E6" s="46"/>
      <c r="F6" s="49"/>
      <c r="G6" s="16" t="s">
        <v>65</v>
      </c>
      <c r="H6" s="3" t="s">
        <v>30</v>
      </c>
      <c r="I6" s="46"/>
      <c r="J6" s="3">
        <v>32</v>
      </c>
      <c r="K6" s="3" t="s">
        <v>31</v>
      </c>
      <c r="L6" s="3" t="s">
        <v>31</v>
      </c>
      <c r="M6" s="3">
        <v>16</v>
      </c>
      <c r="N6" s="3" t="s">
        <v>31</v>
      </c>
      <c r="O6" s="3" t="s">
        <v>31</v>
      </c>
      <c r="P6" s="3" t="s">
        <v>31</v>
      </c>
      <c r="Q6" s="3">
        <v>7</v>
      </c>
      <c r="R6" s="3" t="s">
        <v>66</v>
      </c>
      <c r="S6" s="3" t="s">
        <v>31</v>
      </c>
      <c r="T6" s="1" t="s">
        <v>31</v>
      </c>
      <c r="U6" s="50"/>
      <c r="V6" s="46"/>
      <c r="W6" s="46"/>
      <c r="X6" s="46"/>
      <c r="Y6" s="46"/>
      <c r="Z6" s="46"/>
      <c r="AA6" s="49"/>
      <c r="AB6" s="50"/>
      <c r="AC6" s="46"/>
      <c r="AD6" s="46"/>
      <c r="AE6" s="46"/>
      <c r="AF6" s="46"/>
      <c r="AG6" s="46"/>
      <c r="AH6" s="49"/>
      <c r="AI6" s="3"/>
      <c r="AJ6" s="46"/>
      <c r="AK6" s="46"/>
      <c r="AL6" s="46"/>
      <c r="AM6" s="46"/>
      <c r="AN6" s="46"/>
      <c r="AO6" s="46"/>
      <c r="AP6" s="3"/>
    </row>
    <row r="7" spans="1:42" ht="48" x14ac:dyDescent="0.2">
      <c r="A7" s="23">
        <v>5</v>
      </c>
      <c r="B7" s="3" t="s">
        <v>67</v>
      </c>
      <c r="C7" s="3" t="s">
        <v>68</v>
      </c>
      <c r="D7" s="24" t="s">
        <v>69</v>
      </c>
      <c r="E7" s="3" t="s">
        <v>70</v>
      </c>
      <c r="F7" s="1">
        <v>2012</v>
      </c>
      <c r="G7" s="16" t="s">
        <v>71</v>
      </c>
      <c r="H7" s="3" t="s">
        <v>30</v>
      </c>
      <c r="I7" s="3"/>
      <c r="J7" s="3">
        <v>20</v>
      </c>
      <c r="K7" s="3" t="s">
        <v>31</v>
      </c>
      <c r="L7" s="3" t="s">
        <v>31</v>
      </c>
      <c r="M7" s="3" t="s">
        <v>31</v>
      </c>
      <c r="N7" s="3" t="s">
        <v>31</v>
      </c>
      <c r="O7" s="3" t="s">
        <v>1154</v>
      </c>
      <c r="P7" s="3" t="s">
        <v>31</v>
      </c>
      <c r="Q7" s="3">
        <v>4</v>
      </c>
      <c r="R7" s="3" t="s">
        <v>72</v>
      </c>
      <c r="S7" s="3" t="s">
        <v>31</v>
      </c>
      <c r="T7" s="1" t="s">
        <v>31</v>
      </c>
      <c r="U7" s="16" t="s">
        <v>73</v>
      </c>
      <c r="V7" s="3" t="s">
        <v>30</v>
      </c>
      <c r="W7" s="3" t="s">
        <v>31</v>
      </c>
      <c r="X7" s="3" t="s">
        <v>30</v>
      </c>
      <c r="Y7" s="3" t="s">
        <v>1297</v>
      </c>
      <c r="Z7" s="3" t="s">
        <v>31</v>
      </c>
      <c r="AA7" s="1" t="s">
        <v>31</v>
      </c>
      <c r="AB7" s="16" t="s">
        <v>74</v>
      </c>
      <c r="AC7" s="3" t="s">
        <v>40</v>
      </c>
      <c r="AD7" s="3" t="s">
        <v>41</v>
      </c>
      <c r="AE7" s="3" t="s">
        <v>33</v>
      </c>
      <c r="AF7" s="3" t="s">
        <v>30</v>
      </c>
      <c r="AG7" s="3" t="s">
        <v>1396</v>
      </c>
      <c r="AH7" s="1" t="s">
        <v>33</v>
      </c>
      <c r="AI7" s="3" t="s">
        <v>33</v>
      </c>
      <c r="AJ7" s="3"/>
      <c r="AK7" s="3" t="s">
        <v>33</v>
      </c>
      <c r="AL7" s="3" t="s">
        <v>33</v>
      </c>
      <c r="AM7" s="3" t="s">
        <v>1036</v>
      </c>
      <c r="AN7" s="3" t="s">
        <v>33</v>
      </c>
      <c r="AO7" s="3" t="s">
        <v>64</v>
      </c>
      <c r="AP7" s="3"/>
    </row>
    <row r="8" spans="1:42" ht="48" x14ac:dyDescent="0.2">
      <c r="A8" s="23">
        <v>98</v>
      </c>
      <c r="B8" s="3" t="s">
        <v>75</v>
      </c>
      <c r="C8" s="3" t="s">
        <v>76</v>
      </c>
      <c r="D8" s="3" t="s">
        <v>77</v>
      </c>
      <c r="E8" s="3" t="s">
        <v>70</v>
      </c>
      <c r="F8" s="1">
        <v>2010</v>
      </c>
      <c r="G8" s="16" t="s">
        <v>78</v>
      </c>
      <c r="H8" s="3" t="s">
        <v>30</v>
      </c>
      <c r="I8" s="3"/>
      <c r="J8" s="3" t="s">
        <v>31</v>
      </c>
      <c r="K8" s="3" t="s">
        <v>31</v>
      </c>
      <c r="L8" s="3" t="s">
        <v>31</v>
      </c>
      <c r="M8" s="3" t="s">
        <v>31</v>
      </c>
      <c r="N8" s="3" t="s">
        <v>31</v>
      </c>
      <c r="O8" s="3" t="s">
        <v>31</v>
      </c>
      <c r="P8" s="3" t="s">
        <v>31</v>
      </c>
      <c r="Q8" s="3">
        <v>20</v>
      </c>
      <c r="R8" s="3" t="s">
        <v>79</v>
      </c>
      <c r="S8" s="3" t="s">
        <v>31</v>
      </c>
      <c r="T8" s="1" t="s">
        <v>80</v>
      </c>
      <c r="U8" s="16" t="s">
        <v>877</v>
      </c>
      <c r="V8" s="3" t="s">
        <v>33</v>
      </c>
      <c r="W8" s="3" t="s">
        <v>31</v>
      </c>
      <c r="X8" s="3" t="s">
        <v>31</v>
      </c>
      <c r="Y8" s="3"/>
      <c r="Z8" s="3" t="s">
        <v>31</v>
      </c>
      <c r="AA8" s="1" t="s">
        <v>31</v>
      </c>
      <c r="AB8" s="16" t="s">
        <v>1301</v>
      </c>
      <c r="AC8" s="3" t="s">
        <v>40</v>
      </c>
      <c r="AD8" s="3" t="s">
        <v>81</v>
      </c>
      <c r="AE8" s="3" t="s">
        <v>33</v>
      </c>
      <c r="AF8" s="3" t="s">
        <v>30</v>
      </c>
      <c r="AG8" s="3" t="s">
        <v>33</v>
      </c>
      <c r="AH8" s="1" t="s">
        <v>33</v>
      </c>
      <c r="AI8" s="3" t="s">
        <v>33</v>
      </c>
      <c r="AJ8" s="3"/>
      <c r="AK8" s="3" t="s">
        <v>33</v>
      </c>
      <c r="AL8" s="3" t="s">
        <v>33</v>
      </c>
      <c r="AM8" s="3" t="s">
        <v>1037</v>
      </c>
      <c r="AN8" s="3" t="s">
        <v>33</v>
      </c>
      <c r="AO8" s="3" t="s">
        <v>64</v>
      </c>
      <c r="AP8" s="3"/>
    </row>
    <row r="9" spans="1:42" ht="112" x14ac:dyDescent="0.2">
      <c r="A9" s="23">
        <v>14</v>
      </c>
      <c r="B9" s="3" t="s">
        <v>82</v>
      </c>
      <c r="C9" s="3" t="s">
        <v>83</v>
      </c>
      <c r="D9" s="24" t="s">
        <v>84</v>
      </c>
      <c r="E9" s="3" t="s">
        <v>85</v>
      </c>
      <c r="F9" s="1">
        <v>2023</v>
      </c>
      <c r="G9" s="16" t="s">
        <v>86</v>
      </c>
      <c r="H9" s="3" t="s">
        <v>30</v>
      </c>
      <c r="I9" s="3"/>
      <c r="J9" s="3">
        <v>100</v>
      </c>
      <c r="K9" s="3" t="s">
        <v>31</v>
      </c>
      <c r="L9" s="3" t="s">
        <v>87</v>
      </c>
      <c r="M9" s="3">
        <v>151</v>
      </c>
      <c r="N9" s="3" t="s">
        <v>1079</v>
      </c>
      <c r="O9" s="3" t="s">
        <v>1155</v>
      </c>
      <c r="P9" s="3" t="s">
        <v>33</v>
      </c>
      <c r="Q9" s="3">
        <v>4</v>
      </c>
      <c r="R9" s="3" t="s">
        <v>88</v>
      </c>
      <c r="S9" s="3" t="s">
        <v>89</v>
      </c>
      <c r="T9" s="1" t="s">
        <v>31</v>
      </c>
      <c r="U9" s="16" t="s">
        <v>90</v>
      </c>
      <c r="V9" s="3" t="s">
        <v>30</v>
      </c>
      <c r="W9" s="3" t="s">
        <v>91</v>
      </c>
      <c r="X9" s="3" t="s">
        <v>92</v>
      </c>
      <c r="Y9" s="3" t="s">
        <v>1233</v>
      </c>
      <c r="Z9" s="3">
        <v>30</v>
      </c>
      <c r="AA9" s="1">
        <v>0</v>
      </c>
      <c r="AB9" s="16" t="s">
        <v>1302</v>
      </c>
      <c r="AC9" s="3" t="s">
        <v>40</v>
      </c>
      <c r="AD9" s="3" t="s">
        <v>1346</v>
      </c>
      <c r="AE9" s="3" t="s">
        <v>30</v>
      </c>
      <c r="AF9" s="3" t="s">
        <v>33</v>
      </c>
      <c r="AG9" s="3" t="s">
        <v>33</v>
      </c>
      <c r="AH9" s="1" t="s">
        <v>33</v>
      </c>
      <c r="AI9" s="3" t="s">
        <v>33</v>
      </c>
      <c r="AJ9" s="3"/>
      <c r="AK9" s="3" t="s">
        <v>33</v>
      </c>
      <c r="AL9" s="3" t="s">
        <v>33</v>
      </c>
      <c r="AM9" s="3" t="s">
        <v>1035</v>
      </c>
      <c r="AN9" s="3" t="s">
        <v>33</v>
      </c>
      <c r="AO9" s="3" t="s">
        <v>64</v>
      </c>
      <c r="AP9" s="3"/>
    </row>
    <row r="10" spans="1:42" ht="80" x14ac:dyDescent="0.2">
      <c r="A10" s="23">
        <v>130</v>
      </c>
      <c r="B10" s="3" t="s">
        <v>93</v>
      </c>
      <c r="C10" s="3" t="s">
        <v>94</v>
      </c>
      <c r="D10" s="3" t="s">
        <v>95</v>
      </c>
      <c r="E10" s="3" t="s">
        <v>96</v>
      </c>
      <c r="F10" s="1">
        <v>2024</v>
      </c>
      <c r="G10" s="16" t="s">
        <v>97</v>
      </c>
      <c r="H10" s="3" t="s">
        <v>30</v>
      </c>
      <c r="I10" s="3"/>
      <c r="J10" s="3">
        <v>51.2</v>
      </c>
      <c r="K10" s="3">
        <v>1.5</v>
      </c>
      <c r="L10" s="3" t="s">
        <v>98</v>
      </c>
      <c r="M10" s="3">
        <v>395</v>
      </c>
      <c r="N10" s="3" t="s">
        <v>99</v>
      </c>
      <c r="O10" s="3" t="s">
        <v>1154</v>
      </c>
      <c r="P10" s="3" t="s">
        <v>33</v>
      </c>
      <c r="Q10" s="3">
        <v>18</v>
      </c>
      <c r="R10" s="3" t="s">
        <v>100</v>
      </c>
      <c r="S10" s="3" t="s">
        <v>31</v>
      </c>
      <c r="T10" s="1" t="s">
        <v>80</v>
      </c>
      <c r="U10" s="16" t="s">
        <v>101</v>
      </c>
      <c r="V10" s="3" t="s">
        <v>30</v>
      </c>
      <c r="W10" s="3" t="s">
        <v>31</v>
      </c>
      <c r="X10" s="3" t="s">
        <v>30</v>
      </c>
      <c r="Y10" s="3" t="s">
        <v>1234</v>
      </c>
      <c r="Z10" s="3">
        <v>4</v>
      </c>
      <c r="AA10" s="1">
        <v>0</v>
      </c>
      <c r="AB10" s="16" t="s">
        <v>1303</v>
      </c>
      <c r="AC10" s="3" t="s">
        <v>102</v>
      </c>
      <c r="AD10" s="3" t="s">
        <v>1347</v>
      </c>
      <c r="AE10" s="3" t="s">
        <v>33</v>
      </c>
      <c r="AF10" s="3" t="s">
        <v>33</v>
      </c>
      <c r="AG10" s="3" t="s">
        <v>33</v>
      </c>
      <c r="AH10" s="1" t="s">
        <v>33</v>
      </c>
      <c r="AI10" s="3" t="s">
        <v>30</v>
      </c>
      <c r="AJ10" s="3" t="s">
        <v>103</v>
      </c>
      <c r="AK10" s="3" t="s">
        <v>33</v>
      </c>
      <c r="AL10" s="3" t="s">
        <v>30</v>
      </c>
      <c r="AM10" s="3"/>
      <c r="AN10" s="3" t="s">
        <v>33</v>
      </c>
      <c r="AO10" s="3" t="s">
        <v>64</v>
      </c>
      <c r="AP10" s="3"/>
    </row>
    <row r="11" spans="1:42" ht="409.6" x14ac:dyDescent="0.2">
      <c r="A11" s="23">
        <v>108</v>
      </c>
      <c r="B11" s="3" t="s">
        <v>104</v>
      </c>
      <c r="C11" s="3" t="s">
        <v>105</v>
      </c>
      <c r="D11" s="24" t="s">
        <v>106</v>
      </c>
      <c r="E11" s="3" t="s">
        <v>107</v>
      </c>
      <c r="F11" s="1">
        <v>2020</v>
      </c>
      <c r="G11" s="16" t="s">
        <v>108</v>
      </c>
      <c r="H11" s="3" t="s">
        <v>30</v>
      </c>
      <c r="I11" s="3"/>
      <c r="J11" s="3">
        <v>51.2</v>
      </c>
      <c r="K11" s="3" t="s">
        <v>31</v>
      </c>
      <c r="L11" s="3" t="s">
        <v>109</v>
      </c>
      <c r="M11" s="3" t="s">
        <v>31</v>
      </c>
      <c r="N11" s="3" t="s">
        <v>31</v>
      </c>
      <c r="O11" s="3" t="s">
        <v>1154</v>
      </c>
      <c r="P11" s="3" t="s">
        <v>30</v>
      </c>
      <c r="Q11" s="3">
        <v>18</v>
      </c>
      <c r="R11" s="3" t="s">
        <v>1138</v>
      </c>
      <c r="S11" s="3" t="s">
        <v>1138</v>
      </c>
      <c r="T11" s="1" t="s">
        <v>80</v>
      </c>
      <c r="U11" s="16" t="s">
        <v>110</v>
      </c>
      <c r="V11" s="3" t="s">
        <v>30</v>
      </c>
      <c r="W11" s="3" t="s">
        <v>111</v>
      </c>
      <c r="X11" s="3" t="s">
        <v>30</v>
      </c>
      <c r="Y11" s="3" t="s">
        <v>1235</v>
      </c>
      <c r="Z11" s="3">
        <v>4</v>
      </c>
      <c r="AA11" s="1">
        <v>0</v>
      </c>
      <c r="AB11" s="16" t="s">
        <v>1304</v>
      </c>
      <c r="AC11" s="3" t="s">
        <v>102</v>
      </c>
      <c r="AD11" s="3" t="s">
        <v>113</v>
      </c>
      <c r="AE11" s="3" t="s">
        <v>33</v>
      </c>
      <c r="AF11" s="3" t="s">
        <v>33</v>
      </c>
      <c r="AG11" s="3" t="s">
        <v>33</v>
      </c>
      <c r="AH11" s="1" t="s">
        <v>33</v>
      </c>
      <c r="AI11" s="3" t="s">
        <v>33</v>
      </c>
      <c r="AJ11" s="3"/>
      <c r="AK11" s="3" t="s">
        <v>33</v>
      </c>
      <c r="AL11" s="3" t="s">
        <v>33</v>
      </c>
      <c r="AM11" s="3" t="s">
        <v>1035</v>
      </c>
      <c r="AN11" s="3" t="s">
        <v>33</v>
      </c>
      <c r="AO11" s="3" t="s">
        <v>64</v>
      </c>
      <c r="AP11" s="3"/>
    </row>
    <row r="12" spans="1:42" ht="128" x14ac:dyDescent="0.2">
      <c r="A12" s="23">
        <v>10</v>
      </c>
      <c r="B12" s="3" t="s">
        <v>114</v>
      </c>
      <c r="C12" s="3" t="s">
        <v>115</v>
      </c>
      <c r="D12" s="24" t="s">
        <v>116</v>
      </c>
      <c r="E12" s="3" t="s">
        <v>117</v>
      </c>
      <c r="F12" s="1">
        <v>2021</v>
      </c>
      <c r="G12" s="16" t="s">
        <v>118</v>
      </c>
      <c r="H12" s="3" t="s">
        <v>30</v>
      </c>
      <c r="I12" s="3"/>
      <c r="J12" s="3">
        <v>32</v>
      </c>
      <c r="K12" s="3" t="s">
        <v>31</v>
      </c>
      <c r="L12" s="3" t="s">
        <v>119</v>
      </c>
      <c r="M12" s="3">
        <v>15</v>
      </c>
      <c r="N12" s="3" t="s">
        <v>1080</v>
      </c>
      <c r="O12" s="3" t="s">
        <v>1154</v>
      </c>
      <c r="P12" s="3" t="s">
        <v>33</v>
      </c>
      <c r="Q12" s="3" t="s">
        <v>1173</v>
      </c>
      <c r="R12" s="3" t="s">
        <v>120</v>
      </c>
      <c r="S12" s="3" t="s">
        <v>121</v>
      </c>
      <c r="T12" s="1" t="s">
        <v>122</v>
      </c>
      <c r="U12" s="16" t="s">
        <v>123</v>
      </c>
      <c r="V12" s="3" t="s">
        <v>33</v>
      </c>
      <c r="W12" s="3" t="s">
        <v>124</v>
      </c>
      <c r="X12" s="3" t="s">
        <v>30</v>
      </c>
      <c r="Y12" s="3" t="s">
        <v>1236</v>
      </c>
      <c r="Z12" s="3">
        <v>7</v>
      </c>
      <c r="AA12" s="1">
        <v>0</v>
      </c>
      <c r="AB12" s="16" t="s">
        <v>125</v>
      </c>
      <c r="AC12" s="3" t="s">
        <v>126</v>
      </c>
      <c r="AD12" s="3" t="s">
        <v>1348</v>
      </c>
      <c r="AE12" s="3" t="s">
        <v>30</v>
      </c>
      <c r="AF12" s="3" t="s">
        <v>30</v>
      </c>
      <c r="AG12" s="3" t="s">
        <v>33</v>
      </c>
      <c r="AH12" s="1" t="s">
        <v>33</v>
      </c>
      <c r="AI12" s="3" t="s">
        <v>33</v>
      </c>
      <c r="AJ12" s="3"/>
      <c r="AK12" s="3" t="s">
        <v>33</v>
      </c>
      <c r="AL12" s="3" t="s">
        <v>30</v>
      </c>
      <c r="AM12" s="3"/>
      <c r="AN12" s="3" t="s">
        <v>33</v>
      </c>
      <c r="AO12" s="3" t="s">
        <v>64</v>
      </c>
      <c r="AP12" s="3"/>
    </row>
    <row r="13" spans="1:42" ht="80" customHeight="1" x14ac:dyDescent="0.2">
      <c r="A13" s="51">
        <v>71</v>
      </c>
      <c r="B13" s="46" t="s">
        <v>127</v>
      </c>
      <c r="C13" s="46" t="s">
        <v>128</v>
      </c>
      <c r="D13" s="53" t="s">
        <v>129</v>
      </c>
      <c r="E13" s="46" t="s">
        <v>130</v>
      </c>
      <c r="F13" s="49">
        <v>2015</v>
      </c>
      <c r="G13" s="16" t="s">
        <v>118</v>
      </c>
      <c r="H13" s="3" t="s">
        <v>30</v>
      </c>
      <c r="I13" s="3"/>
      <c r="J13" s="3">
        <v>204.8</v>
      </c>
      <c r="K13" s="3" t="s">
        <v>31</v>
      </c>
      <c r="L13" s="3" t="s">
        <v>31</v>
      </c>
      <c r="M13" s="3">
        <v>19</v>
      </c>
      <c r="N13" s="3" t="s">
        <v>31</v>
      </c>
      <c r="O13" s="3" t="s">
        <v>31</v>
      </c>
      <c r="P13" s="3" t="s">
        <v>31</v>
      </c>
      <c r="Q13" s="3" t="s">
        <v>1174</v>
      </c>
      <c r="R13" s="3" t="s">
        <v>131</v>
      </c>
      <c r="S13" s="3" t="s">
        <v>31</v>
      </c>
      <c r="T13" s="1" t="s">
        <v>49</v>
      </c>
      <c r="U13" s="50" t="s">
        <v>132</v>
      </c>
      <c r="V13" s="46" t="s">
        <v>30</v>
      </c>
      <c r="W13" s="46" t="s">
        <v>31</v>
      </c>
      <c r="X13" s="3" t="s">
        <v>30</v>
      </c>
      <c r="Y13" s="3" t="s">
        <v>133</v>
      </c>
      <c r="Z13" s="3" t="s">
        <v>31</v>
      </c>
      <c r="AA13" s="1" t="s">
        <v>31</v>
      </c>
      <c r="AB13" s="50" t="s">
        <v>1305</v>
      </c>
      <c r="AC13" s="46" t="s">
        <v>40</v>
      </c>
      <c r="AD13" s="46" t="s">
        <v>1349</v>
      </c>
      <c r="AE13" s="46" t="s">
        <v>33</v>
      </c>
      <c r="AF13" s="46" t="s">
        <v>30</v>
      </c>
      <c r="AG13" s="46" t="s">
        <v>30</v>
      </c>
      <c r="AH13" s="49" t="s">
        <v>33</v>
      </c>
      <c r="AI13" s="46" t="s">
        <v>33</v>
      </c>
      <c r="AJ13" s="51"/>
      <c r="AK13" s="46" t="s">
        <v>33</v>
      </c>
      <c r="AL13" s="46" t="s">
        <v>33</v>
      </c>
      <c r="AM13" s="46" t="s">
        <v>1038</v>
      </c>
      <c r="AN13" s="46" t="s">
        <v>33</v>
      </c>
      <c r="AO13" s="46" t="s">
        <v>64</v>
      </c>
      <c r="AP13" s="3"/>
    </row>
    <row r="14" spans="1:42" ht="64" x14ac:dyDescent="0.2">
      <c r="A14" s="51"/>
      <c r="B14" s="46"/>
      <c r="C14" s="46"/>
      <c r="D14" s="46"/>
      <c r="E14" s="46"/>
      <c r="F14" s="49"/>
      <c r="G14" s="16" t="s">
        <v>134</v>
      </c>
      <c r="H14" s="3" t="s">
        <v>1034</v>
      </c>
      <c r="I14" s="3" t="s">
        <v>1033</v>
      </c>
      <c r="J14" s="3">
        <v>64</v>
      </c>
      <c r="K14" s="3" t="s">
        <v>31</v>
      </c>
      <c r="L14" s="3" t="s">
        <v>31</v>
      </c>
      <c r="M14" s="3">
        <v>17</v>
      </c>
      <c r="N14" s="3" t="s">
        <v>31</v>
      </c>
      <c r="O14" s="3" t="s">
        <v>31</v>
      </c>
      <c r="P14" s="3" t="s">
        <v>31</v>
      </c>
      <c r="Q14" s="3">
        <v>5</v>
      </c>
      <c r="R14" s="3" t="s">
        <v>135</v>
      </c>
      <c r="S14" s="3" t="s">
        <v>31</v>
      </c>
      <c r="T14" s="1" t="s">
        <v>80</v>
      </c>
      <c r="U14" s="50"/>
      <c r="V14" s="46"/>
      <c r="W14" s="46"/>
      <c r="X14" s="3" t="s">
        <v>30</v>
      </c>
      <c r="Y14" s="3" t="s">
        <v>1237</v>
      </c>
      <c r="Z14" s="3" t="s">
        <v>31</v>
      </c>
      <c r="AA14" s="1" t="s">
        <v>31</v>
      </c>
      <c r="AB14" s="50"/>
      <c r="AC14" s="46"/>
      <c r="AD14" s="46"/>
      <c r="AE14" s="46"/>
      <c r="AF14" s="46"/>
      <c r="AG14" s="46"/>
      <c r="AH14" s="49"/>
      <c r="AI14" s="46"/>
      <c r="AJ14" s="51"/>
      <c r="AK14" s="46"/>
      <c r="AL14" s="46"/>
      <c r="AM14" s="46"/>
      <c r="AN14" s="46"/>
      <c r="AO14" s="46"/>
      <c r="AP14" s="3"/>
    </row>
    <row r="15" spans="1:42" ht="64" customHeight="1" x14ac:dyDescent="0.2">
      <c r="A15" s="51"/>
      <c r="B15" s="46"/>
      <c r="C15" s="46"/>
      <c r="D15" s="46"/>
      <c r="E15" s="46"/>
      <c r="F15" s="49"/>
      <c r="G15" s="16" t="s">
        <v>136</v>
      </c>
      <c r="H15" s="3" t="s">
        <v>1034</v>
      </c>
      <c r="I15" s="3" t="s">
        <v>1033</v>
      </c>
      <c r="J15" s="3">
        <v>10</v>
      </c>
      <c r="K15" s="3" t="s">
        <v>31</v>
      </c>
      <c r="L15" s="3" t="s">
        <v>31</v>
      </c>
      <c r="M15" s="3">
        <v>13</v>
      </c>
      <c r="N15" s="3" t="s">
        <v>31</v>
      </c>
      <c r="O15" s="3" t="s">
        <v>31</v>
      </c>
      <c r="P15" s="3" t="s">
        <v>31</v>
      </c>
      <c r="Q15" s="3" t="s">
        <v>1175</v>
      </c>
      <c r="R15" s="3" t="s">
        <v>137</v>
      </c>
      <c r="S15" s="3" t="s">
        <v>31</v>
      </c>
      <c r="T15" s="1" t="s">
        <v>35</v>
      </c>
      <c r="U15" s="50"/>
      <c r="V15" s="46"/>
      <c r="W15" s="46"/>
      <c r="X15" s="3" t="s">
        <v>30</v>
      </c>
      <c r="Y15" s="3" t="s">
        <v>138</v>
      </c>
      <c r="Z15" s="3">
        <v>0.7</v>
      </c>
      <c r="AA15" s="1">
        <v>0</v>
      </c>
      <c r="AB15" s="50"/>
      <c r="AC15" s="46"/>
      <c r="AD15" s="46"/>
      <c r="AE15" s="46"/>
      <c r="AF15" s="46"/>
      <c r="AG15" s="46"/>
      <c r="AH15" s="49"/>
      <c r="AI15" s="46"/>
      <c r="AJ15" s="51"/>
      <c r="AK15" s="46"/>
      <c r="AL15" s="46"/>
      <c r="AM15" s="46"/>
      <c r="AN15" s="46"/>
      <c r="AO15" s="46"/>
      <c r="AP15" s="3"/>
    </row>
    <row r="16" spans="1:42" ht="64" x14ac:dyDescent="0.2">
      <c r="A16" s="51">
        <v>102</v>
      </c>
      <c r="B16" s="46" t="s">
        <v>139</v>
      </c>
      <c r="C16" s="46" t="s">
        <v>140</v>
      </c>
      <c r="D16" s="46" t="s">
        <v>141</v>
      </c>
      <c r="E16" s="46" t="s">
        <v>28</v>
      </c>
      <c r="F16" s="49">
        <v>2020</v>
      </c>
      <c r="G16" s="16" t="s">
        <v>118</v>
      </c>
      <c r="H16" s="3" t="s">
        <v>30</v>
      </c>
      <c r="I16" s="51"/>
      <c r="J16" s="3">
        <v>204.8</v>
      </c>
      <c r="K16" s="3" t="s">
        <v>31</v>
      </c>
      <c r="L16" s="3" t="s">
        <v>31</v>
      </c>
      <c r="M16" s="3">
        <v>19</v>
      </c>
      <c r="N16" s="3" t="s">
        <v>1153</v>
      </c>
      <c r="O16" s="3" t="s">
        <v>1154</v>
      </c>
      <c r="P16" s="3" t="s">
        <v>33</v>
      </c>
      <c r="Q16" s="3">
        <v>13</v>
      </c>
      <c r="R16" s="3" t="s">
        <v>143</v>
      </c>
      <c r="S16" s="3" t="s">
        <v>31</v>
      </c>
      <c r="T16" s="1" t="s">
        <v>49</v>
      </c>
      <c r="U16" s="50" t="s">
        <v>144</v>
      </c>
      <c r="V16" s="46" t="s">
        <v>30</v>
      </c>
      <c r="W16" s="46" t="s">
        <v>145</v>
      </c>
      <c r="X16" s="46" t="s">
        <v>30</v>
      </c>
      <c r="Y16" s="46" t="s">
        <v>1238</v>
      </c>
      <c r="Z16" s="3">
        <v>5</v>
      </c>
      <c r="AA16" s="1">
        <v>50</v>
      </c>
      <c r="AB16" s="50" t="s">
        <v>31</v>
      </c>
      <c r="AC16" s="46" t="s">
        <v>146</v>
      </c>
      <c r="AD16" s="46" t="s">
        <v>1350</v>
      </c>
      <c r="AE16" s="46" t="s">
        <v>30</v>
      </c>
      <c r="AF16" s="3" t="s">
        <v>33</v>
      </c>
      <c r="AG16" s="3" t="s">
        <v>30</v>
      </c>
      <c r="AH16" s="49" t="s">
        <v>33</v>
      </c>
      <c r="AI16" s="46" t="s">
        <v>33</v>
      </c>
      <c r="AJ16" s="51"/>
      <c r="AK16" s="46" t="s">
        <v>33</v>
      </c>
      <c r="AL16" s="46" t="s">
        <v>33</v>
      </c>
      <c r="AM16" s="46" t="s">
        <v>1035</v>
      </c>
      <c r="AN16" s="46" t="s">
        <v>33</v>
      </c>
      <c r="AO16" s="46" t="s">
        <v>64</v>
      </c>
      <c r="AP16" s="3"/>
    </row>
    <row r="17" spans="1:42" ht="166" customHeight="1" x14ac:dyDescent="0.2">
      <c r="A17" s="51"/>
      <c r="B17" s="46"/>
      <c r="C17" s="46"/>
      <c r="D17" s="46"/>
      <c r="E17" s="46"/>
      <c r="F17" s="49"/>
      <c r="G17" s="16" t="s">
        <v>147</v>
      </c>
      <c r="H17" s="3" t="s">
        <v>30</v>
      </c>
      <c r="I17" s="51"/>
      <c r="J17" s="3">
        <v>50</v>
      </c>
      <c r="K17" s="3" t="s">
        <v>31</v>
      </c>
      <c r="L17" s="3" t="s">
        <v>31</v>
      </c>
      <c r="M17" s="3">
        <v>10</v>
      </c>
      <c r="N17" s="3" t="s">
        <v>31</v>
      </c>
      <c r="O17" s="3" t="s">
        <v>31</v>
      </c>
      <c r="P17" s="3" t="s">
        <v>33</v>
      </c>
      <c r="Q17" s="3">
        <v>12</v>
      </c>
      <c r="R17" s="3" t="s">
        <v>148</v>
      </c>
      <c r="S17" s="3" t="s">
        <v>31</v>
      </c>
      <c r="T17" s="1" t="s">
        <v>49</v>
      </c>
      <c r="U17" s="50"/>
      <c r="V17" s="46"/>
      <c r="W17" s="46"/>
      <c r="X17" s="46"/>
      <c r="Y17" s="46"/>
      <c r="Z17" s="3">
        <v>4</v>
      </c>
      <c r="AA17" s="1">
        <v>50</v>
      </c>
      <c r="AB17" s="50"/>
      <c r="AC17" s="46"/>
      <c r="AD17" s="46"/>
      <c r="AE17" s="46"/>
      <c r="AF17" s="3" t="s">
        <v>30</v>
      </c>
      <c r="AG17" s="3" t="s">
        <v>30</v>
      </c>
      <c r="AH17" s="49"/>
      <c r="AI17" s="46"/>
      <c r="AJ17" s="51"/>
      <c r="AK17" s="46"/>
      <c r="AL17" s="46"/>
      <c r="AM17" s="46"/>
      <c r="AN17" s="46"/>
      <c r="AO17" s="46"/>
      <c r="AP17" s="3"/>
    </row>
    <row r="18" spans="1:42" ht="128" x14ac:dyDescent="0.2">
      <c r="A18" s="23">
        <v>54</v>
      </c>
      <c r="B18" s="3" t="s">
        <v>149</v>
      </c>
      <c r="C18" s="3" t="s">
        <v>150</v>
      </c>
      <c r="D18" s="3" t="s">
        <v>151</v>
      </c>
      <c r="E18" s="3" t="s">
        <v>56</v>
      </c>
      <c r="F18" s="1">
        <v>2021</v>
      </c>
      <c r="G18" s="16" t="s">
        <v>152</v>
      </c>
      <c r="H18" s="3" t="s">
        <v>30</v>
      </c>
      <c r="I18" s="3"/>
      <c r="J18" s="3">
        <v>10</v>
      </c>
      <c r="K18" s="3" t="s">
        <v>31</v>
      </c>
      <c r="L18" s="3" t="s">
        <v>153</v>
      </c>
      <c r="M18" s="3">
        <v>2</v>
      </c>
      <c r="N18" s="3" t="s">
        <v>31</v>
      </c>
      <c r="O18" s="3" t="s">
        <v>1155</v>
      </c>
      <c r="P18" s="3" t="s">
        <v>33</v>
      </c>
      <c r="Q18" s="3">
        <v>11</v>
      </c>
      <c r="R18" s="3" t="s">
        <v>154</v>
      </c>
      <c r="S18" s="3" t="s">
        <v>1177</v>
      </c>
      <c r="T18" s="1" t="s">
        <v>80</v>
      </c>
      <c r="U18" s="16" t="s">
        <v>155</v>
      </c>
      <c r="V18" s="3" t="s">
        <v>30</v>
      </c>
      <c r="W18" s="3" t="s">
        <v>156</v>
      </c>
      <c r="X18" s="3" t="s">
        <v>33</v>
      </c>
      <c r="Y18" s="3"/>
      <c r="Z18" s="3" t="s">
        <v>157</v>
      </c>
      <c r="AA18" s="1" t="s">
        <v>31</v>
      </c>
      <c r="AB18" s="16" t="s">
        <v>74</v>
      </c>
      <c r="AC18" s="3" t="s">
        <v>146</v>
      </c>
      <c r="AD18" s="3" t="s">
        <v>62</v>
      </c>
      <c r="AE18" s="3" t="s">
        <v>33</v>
      </c>
      <c r="AF18" s="3" t="s">
        <v>33</v>
      </c>
      <c r="AG18" s="3" t="s">
        <v>33</v>
      </c>
      <c r="AH18" s="1" t="s">
        <v>33</v>
      </c>
      <c r="AI18" s="3" t="s">
        <v>33</v>
      </c>
      <c r="AJ18" s="3"/>
      <c r="AK18" s="3" t="s">
        <v>33</v>
      </c>
      <c r="AL18" s="3" t="s">
        <v>33</v>
      </c>
      <c r="AM18" s="3" t="s">
        <v>1035</v>
      </c>
      <c r="AN18" s="3" t="s">
        <v>33</v>
      </c>
      <c r="AO18" s="3" t="s">
        <v>64</v>
      </c>
      <c r="AP18" s="3"/>
    </row>
    <row r="19" spans="1:42" ht="80" x14ac:dyDescent="0.2">
      <c r="A19" s="23">
        <v>107</v>
      </c>
      <c r="B19" s="3" t="s">
        <v>158</v>
      </c>
      <c r="C19" s="3" t="s">
        <v>150</v>
      </c>
      <c r="D19" s="24" t="s">
        <v>159</v>
      </c>
      <c r="E19" s="3" t="s">
        <v>160</v>
      </c>
      <c r="F19" s="1">
        <v>2023</v>
      </c>
      <c r="G19" s="16" t="s">
        <v>152</v>
      </c>
      <c r="H19" s="3" t="s">
        <v>30</v>
      </c>
      <c r="I19" s="3"/>
      <c r="J19" s="3">
        <v>10</v>
      </c>
      <c r="K19" s="3" t="s">
        <v>31</v>
      </c>
      <c r="L19" s="3" t="s">
        <v>161</v>
      </c>
      <c r="M19" s="3">
        <v>2</v>
      </c>
      <c r="N19" s="3" t="s">
        <v>31</v>
      </c>
      <c r="O19" s="3" t="s">
        <v>1155</v>
      </c>
      <c r="P19" s="3" t="s">
        <v>33</v>
      </c>
      <c r="Q19" s="3">
        <v>11</v>
      </c>
      <c r="R19" s="3" t="s">
        <v>162</v>
      </c>
      <c r="S19" s="3" t="s">
        <v>31</v>
      </c>
      <c r="T19" s="1" t="s">
        <v>80</v>
      </c>
      <c r="U19" s="16" t="s">
        <v>163</v>
      </c>
      <c r="V19" s="3" t="s">
        <v>30</v>
      </c>
      <c r="W19" s="3" t="s">
        <v>31</v>
      </c>
      <c r="X19" s="3" t="s">
        <v>33</v>
      </c>
      <c r="Y19" s="3"/>
      <c r="Z19" s="3">
        <v>10</v>
      </c>
      <c r="AA19" s="1">
        <v>50</v>
      </c>
      <c r="AB19" s="16" t="s">
        <v>31</v>
      </c>
      <c r="AC19" s="3" t="s">
        <v>164</v>
      </c>
      <c r="AD19" s="3" t="s">
        <v>62</v>
      </c>
      <c r="AE19" s="3" t="s">
        <v>30</v>
      </c>
      <c r="AF19" s="3" t="s">
        <v>33</v>
      </c>
      <c r="AG19" s="3" t="s">
        <v>33</v>
      </c>
      <c r="AH19" s="1" t="s">
        <v>33</v>
      </c>
      <c r="AI19" s="3" t="s">
        <v>33</v>
      </c>
      <c r="AJ19" s="3"/>
      <c r="AK19" s="3" t="s">
        <v>33</v>
      </c>
      <c r="AL19" s="3" t="s">
        <v>33</v>
      </c>
      <c r="AM19" s="3" t="s">
        <v>1035</v>
      </c>
      <c r="AN19" s="3" t="s">
        <v>33</v>
      </c>
      <c r="AO19" s="3" t="s">
        <v>64</v>
      </c>
      <c r="AP19" s="3"/>
    </row>
    <row r="20" spans="1:42" ht="48" x14ac:dyDescent="0.2">
      <c r="A20" s="51">
        <v>28</v>
      </c>
      <c r="B20" s="46" t="s">
        <v>165</v>
      </c>
      <c r="C20" s="46" t="s">
        <v>166</v>
      </c>
      <c r="D20" s="53" t="s">
        <v>167</v>
      </c>
      <c r="E20" s="46" t="s">
        <v>168</v>
      </c>
      <c r="F20" s="49">
        <v>2022</v>
      </c>
      <c r="G20" s="16" t="s">
        <v>169</v>
      </c>
      <c r="H20" s="3" t="s">
        <v>30</v>
      </c>
      <c r="I20" s="25"/>
      <c r="J20" s="3">
        <v>25</v>
      </c>
      <c r="K20" s="3" t="s">
        <v>31</v>
      </c>
      <c r="L20" s="3" t="s">
        <v>31</v>
      </c>
      <c r="M20" s="3">
        <v>8</v>
      </c>
      <c r="N20" s="3" t="s">
        <v>31</v>
      </c>
      <c r="O20" s="3" t="s">
        <v>31</v>
      </c>
      <c r="P20" s="3" t="s">
        <v>31</v>
      </c>
      <c r="Q20" s="3">
        <v>10</v>
      </c>
      <c r="R20" s="3" t="s">
        <v>170</v>
      </c>
      <c r="S20" s="3" t="s">
        <v>31</v>
      </c>
      <c r="T20" s="1" t="s">
        <v>31</v>
      </c>
      <c r="U20" s="50" t="s">
        <v>171</v>
      </c>
      <c r="V20" s="46" t="s">
        <v>30</v>
      </c>
      <c r="W20" s="46" t="s">
        <v>172</v>
      </c>
      <c r="X20" s="46" t="s">
        <v>33</v>
      </c>
      <c r="Y20" s="51"/>
      <c r="Z20" s="46">
        <v>4</v>
      </c>
      <c r="AA20" s="49">
        <v>90</v>
      </c>
      <c r="AB20" s="50" t="s">
        <v>1303</v>
      </c>
      <c r="AC20" s="46" t="s">
        <v>173</v>
      </c>
      <c r="AD20" s="3" t="s">
        <v>112</v>
      </c>
      <c r="AE20" s="3" t="s">
        <v>33</v>
      </c>
      <c r="AF20" s="3" t="s">
        <v>30</v>
      </c>
      <c r="AG20" s="3" t="s">
        <v>30</v>
      </c>
      <c r="AH20" s="1" t="s">
        <v>33</v>
      </c>
      <c r="AI20" s="3" t="s">
        <v>33</v>
      </c>
      <c r="AJ20" s="51"/>
      <c r="AK20" s="3" t="s">
        <v>33</v>
      </c>
      <c r="AL20" s="46" t="s">
        <v>33</v>
      </c>
      <c r="AM20" s="46" t="s">
        <v>1035</v>
      </c>
      <c r="AN20" s="46" t="s">
        <v>33</v>
      </c>
      <c r="AO20" s="46" t="s">
        <v>64</v>
      </c>
      <c r="AP20" s="3"/>
    </row>
    <row r="21" spans="1:42" ht="48" customHeight="1" x14ac:dyDescent="0.2">
      <c r="A21" s="51"/>
      <c r="B21" s="46"/>
      <c r="C21" s="46"/>
      <c r="D21" s="53"/>
      <c r="E21" s="46"/>
      <c r="F21" s="49"/>
      <c r="G21" s="16" t="s">
        <v>174</v>
      </c>
      <c r="H21" s="3" t="s">
        <v>30</v>
      </c>
      <c r="I21" s="25"/>
      <c r="J21" s="3">
        <v>32</v>
      </c>
      <c r="K21" s="3" t="s">
        <v>31</v>
      </c>
      <c r="L21" s="3" t="s">
        <v>31</v>
      </c>
      <c r="M21" s="3">
        <v>4</v>
      </c>
      <c r="N21" s="3" t="s">
        <v>31</v>
      </c>
      <c r="O21" s="3" t="s">
        <v>31</v>
      </c>
      <c r="P21" s="3" t="s">
        <v>31</v>
      </c>
      <c r="Q21" s="3">
        <v>4</v>
      </c>
      <c r="R21" s="3" t="s">
        <v>175</v>
      </c>
      <c r="S21" s="3" t="s">
        <v>31</v>
      </c>
      <c r="T21" s="1" t="s">
        <v>35</v>
      </c>
      <c r="U21" s="50"/>
      <c r="V21" s="46"/>
      <c r="W21" s="46"/>
      <c r="X21" s="46"/>
      <c r="Y21" s="51"/>
      <c r="Z21" s="46"/>
      <c r="AA21" s="49"/>
      <c r="AB21" s="50"/>
      <c r="AC21" s="46"/>
      <c r="AD21" s="3" t="s">
        <v>37</v>
      </c>
      <c r="AE21" s="3" t="s">
        <v>33</v>
      </c>
      <c r="AF21" s="3" t="s">
        <v>30</v>
      </c>
      <c r="AG21" s="3" t="s">
        <v>30</v>
      </c>
      <c r="AH21" s="1" t="s">
        <v>33</v>
      </c>
      <c r="AI21" s="3" t="s">
        <v>33</v>
      </c>
      <c r="AJ21" s="51"/>
      <c r="AK21" s="3" t="s">
        <v>33</v>
      </c>
      <c r="AL21" s="46"/>
      <c r="AM21" s="46"/>
      <c r="AN21" s="46"/>
      <c r="AO21" s="46"/>
      <c r="AP21" s="3"/>
    </row>
    <row r="22" spans="1:42" ht="32" x14ac:dyDescent="0.2">
      <c r="A22" s="51"/>
      <c r="B22" s="46"/>
      <c r="C22" s="46"/>
      <c r="D22" s="53"/>
      <c r="E22" s="46"/>
      <c r="F22" s="49"/>
      <c r="G22" s="16" t="s">
        <v>176</v>
      </c>
      <c r="H22" s="3" t="s">
        <v>30</v>
      </c>
      <c r="I22" s="25"/>
      <c r="J22" s="3">
        <v>100</v>
      </c>
      <c r="K22" s="3" t="s">
        <v>31</v>
      </c>
      <c r="L22" s="3" t="s">
        <v>31</v>
      </c>
      <c r="M22" s="3">
        <v>9</v>
      </c>
      <c r="N22" s="3" t="s">
        <v>31</v>
      </c>
      <c r="O22" s="3" t="s">
        <v>31</v>
      </c>
      <c r="P22" s="3" t="s">
        <v>31</v>
      </c>
      <c r="Q22" s="3">
        <v>11</v>
      </c>
      <c r="R22" s="3" t="s">
        <v>177</v>
      </c>
      <c r="S22" s="3" t="s">
        <v>31</v>
      </c>
      <c r="T22" s="1" t="s">
        <v>80</v>
      </c>
      <c r="U22" s="50"/>
      <c r="V22" s="46"/>
      <c r="W22" s="46"/>
      <c r="X22" s="46"/>
      <c r="Y22" s="51"/>
      <c r="Z22" s="46"/>
      <c r="AA22" s="49"/>
      <c r="AB22" s="50"/>
      <c r="AC22" s="46"/>
      <c r="AD22" s="3" t="s">
        <v>62</v>
      </c>
      <c r="AE22" s="3" t="s">
        <v>33</v>
      </c>
      <c r="AF22" s="3" t="s">
        <v>30</v>
      </c>
      <c r="AG22" s="3" t="s">
        <v>30</v>
      </c>
      <c r="AH22" s="1" t="s">
        <v>33</v>
      </c>
      <c r="AI22" s="3" t="s">
        <v>33</v>
      </c>
      <c r="AJ22" s="51"/>
      <c r="AK22" s="3" t="s">
        <v>33</v>
      </c>
      <c r="AL22" s="46"/>
      <c r="AM22" s="46"/>
      <c r="AN22" s="46"/>
      <c r="AO22" s="46"/>
      <c r="AP22" s="3"/>
    </row>
    <row r="23" spans="1:42" ht="80" x14ac:dyDescent="0.2">
      <c r="A23" s="23">
        <v>111</v>
      </c>
      <c r="B23" s="3" t="s">
        <v>178</v>
      </c>
      <c r="C23" s="3" t="s">
        <v>179</v>
      </c>
      <c r="D23" s="3" t="s">
        <v>180</v>
      </c>
      <c r="E23" s="3" t="s">
        <v>181</v>
      </c>
      <c r="F23" s="1">
        <v>2018</v>
      </c>
      <c r="G23" s="16" t="s">
        <v>169</v>
      </c>
      <c r="H23" s="3" t="s">
        <v>30</v>
      </c>
      <c r="I23" s="3"/>
      <c r="J23" s="3">
        <v>25</v>
      </c>
      <c r="K23" s="3" t="s">
        <v>31</v>
      </c>
      <c r="L23" s="3" t="s">
        <v>31</v>
      </c>
      <c r="M23" s="3">
        <v>8</v>
      </c>
      <c r="N23" s="3" t="s">
        <v>1082</v>
      </c>
      <c r="O23" s="3" t="s">
        <v>31</v>
      </c>
      <c r="P23" s="3" t="s">
        <v>31</v>
      </c>
      <c r="Q23" s="3">
        <v>9</v>
      </c>
      <c r="R23" s="3" t="s">
        <v>1178</v>
      </c>
      <c r="S23" s="3" t="s">
        <v>30</v>
      </c>
      <c r="T23" s="1" t="s">
        <v>31</v>
      </c>
      <c r="U23" s="16" t="s">
        <v>182</v>
      </c>
      <c r="V23" s="3" t="s">
        <v>30</v>
      </c>
      <c r="W23" s="3" t="s">
        <v>183</v>
      </c>
      <c r="X23" s="3" t="s">
        <v>30</v>
      </c>
      <c r="Y23" s="3" t="s">
        <v>1095</v>
      </c>
      <c r="Z23" s="3">
        <v>5</v>
      </c>
      <c r="AA23" s="1">
        <v>50</v>
      </c>
      <c r="AB23" s="16" t="s">
        <v>74</v>
      </c>
      <c r="AC23" s="3" t="s">
        <v>40</v>
      </c>
      <c r="AD23" s="3" t="s">
        <v>112</v>
      </c>
      <c r="AE23" s="3" t="s">
        <v>30</v>
      </c>
      <c r="AF23" s="3" t="s">
        <v>30</v>
      </c>
      <c r="AG23" s="3" t="s">
        <v>30</v>
      </c>
      <c r="AH23" s="1" t="s">
        <v>33</v>
      </c>
      <c r="AI23" s="3" t="s">
        <v>33</v>
      </c>
      <c r="AJ23" s="3"/>
      <c r="AK23" s="3" t="s">
        <v>33</v>
      </c>
      <c r="AL23" s="3" t="s">
        <v>33</v>
      </c>
      <c r="AM23" s="3" t="s">
        <v>1039</v>
      </c>
      <c r="AN23" s="3" t="s">
        <v>33</v>
      </c>
      <c r="AO23" s="3" t="s">
        <v>64</v>
      </c>
      <c r="AP23" s="3"/>
    </row>
    <row r="24" spans="1:42" ht="208" x14ac:dyDescent="0.2">
      <c r="A24" s="23">
        <v>50</v>
      </c>
      <c r="B24" s="3" t="s">
        <v>184</v>
      </c>
      <c r="C24" s="3" t="s">
        <v>185</v>
      </c>
      <c r="D24" s="3" t="s">
        <v>186</v>
      </c>
      <c r="E24" s="3" t="s">
        <v>181</v>
      </c>
      <c r="F24" s="1">
        <v>2018</v>
      </c>
      <c r="G24" s="16" t="s">
        <v>169</v>
      </c>
      <c r="H24" s="3" t="s">
        <v>30</v>
      </c>
      <c r="I24" s="3"/>
      <c r="J24" s="3">
        <v>25</v>
      </c>
      <c r="K24" s="3" t="s">
        <v>31</v>
      </c>
      <c r="L24" s="3" t="s">
        <v>31</v>
      </c>
      <c r="M24" s="3">
        <v>8</v>
      </c>
      <c r="N24" s="3" t="s">
        <v>1081</v>
      </c>
      <c r="O24" s="3" t="s">
        <v>1154</v>
      </c>
      <c r="P24" s="3" t="s">
        <v>30</v>
      </c>
      <c r="Q24" s="3">
        <v>19</v>
      </c>
      <c r="R24" s="3" t="s">
        <v>187</v>
      </c>
      <c r="S24" s="3" t="s">
        <v>31</v>
      </c>
      <c r="T24" s="1" t="s">
        <v>35</v>
      </c>
      <c r="U24" s="16" t="s">
        <v>123</v>
      </c>
      <c r="V24" s="3" t="s">
        <v>33</v>
      </c>
      <c r="W24" s="3" t="s">
        <v>188</v>
      </c>
      <c r="X24" s="3" t="s">
        <v>30</v>
      </c>
      <c r="Y24" s="3" t="s">
        <v>189</v>
      </c>
      <c r="Z24" s="3">
        <v>5</v>
      </c>
      <c r="AA24" s="1">
        <v>0</v>
      </c>
      <c r="AB24" s="16" t="s">
        <v>1306</v>
      </c>
      <c r="AC24" s="3" t="s">
        <v>40</v>
      </c>
      <c r="AD24" s="3" t="s">
        <v>1351</v>
      </c>
      <c r="AE24" s="3" t="s">
        <v>33</v>
      </c>
      <c r="AF24" s="3" t="s">
        <v>30</v>
      </c>
      <c r="AG24" s="3" t="s">
        <v>33</v>
      </c>
      <c r="AH24" s="1" t="s">
        <v>33</v>
      </c>
      <c r="AI24" s="3" t="s">
        <v>33</v>
      </c>
      <c r="AJ24" s="3"/>
      <c r="AK24" s="3" t="s">
        <v>33</v>
      </c>
      <c r="AL24" s="3" t="s">
        <v>30</v>
      </c>
      <c r="AM24" s="3"/>
      <c r="AN24" s="3" t="s">
        <v>30</v>
      </c>
      <c r="AO24" s="3"/>
      <c r="AP24" s="3"/>
    </row>
    <row r="25" spans="1:42" ht="48" x14ac:dyDescent="0.2">
      <c r="A25" s="51">
        <v>15</v>
      </c>
      <c r="B25" s="46" t="s">
        <v>190</v>
      </c>
      <c r="C25" s="46" t="s">
        <v>191</v>
      </c>
      <c r="D25" s="53" t="s">
        <v>192</v>
      </c>
      <c r="E25" s="46" t="s">
        <v>168</v>
      </c>
      <c r="F25" s="49">
        <v>2016</v>
      </c>
      <c r="G25" s="16" t="s">
        <v>193</v>
      </c>
      <c r="H25" s="3" t="s">
        <v>1034</v>
      </c>
      <c r="I25" s="3" t="s">
        <v>1032</v>
      </c>
      <c r="J25" s="3">
        <v>40</v>
      </c>
      <c r="K25" s="3">
        <v>4</v>
      </c>
      <c r="L25" s="3" t="s">
        <v>98</v>
      </c>
      <c r="M25" s="3">
        <v>10</v>
      </c>
      <c r="N25" s="3" t="s">
        <v>1083</v>
      </c>
      <c r="O25" s="3" t="s">
        <v>1154</v>
      </c>
      <c r="P25" s="3" t="s">
        <v>33</v>
      </c>
      <c r="Q25" s="3">
        <v>10</v>
      </c>
      <c r="R25" s="3" t="s">
        <v>194</v>
      </c>
      <c r="S25" s="3" t="s">
        <v>31</v>
      </c>
      <c r="T25" s="1" t="s">
        <v>49</v>
      </c>
      <c r="U25" s="50" t="s">
        <v>195</v>
      </c>
      <c r="V25" s="46" t="s">
        <v>30</v>
      </c>
      <c r="W25" s="46" t="s">
        <v>31</v>
      </c>
      <c r="X25" s="46" t="s">
        <v>30</v>
      </c>
      <c r="Y25" s="46" t="s">
        <v>1138</v>
      </c>
      <c r="Z25" s="46">
        <v>4</v>
      </c>
      <c r="AA25" s="49">
        <v>50</v>
      </c>
      <c r="AB25" s="50" t="s">
        <v>39</v>
      </c>
      <c r="AC25" s="46" t="s">
        <v>40</v>
      </c>
      <c r="AD25" s="3" t="s">
        <v>1352</v>
      </c>
      <c r="AE25" s="3" t="s">
        <v>33</v>
      </c>
      <c r="AF25" s="3" t="s">
        <v>30</v>
      </c>
      <c r="AG25" s="3" t="s">
        <v>30</v>
      </c>
      <c r="AH25" s="1" t="s">
        <v>33</v>
      </c>
      <c r="AI25" s="52" t="s">
        <v>33</v>
      </c>
      <c r="AJ25" s="52"/>
      <c r="AK25" s="52" t="s">
        <v>33</v>
      </c>
      <c r="AL25" s="52" t="s">
        <v>33</v>
      </c>
      <c r="AM25" s="52" t="s">
        <v>1035</v>
      </c>
      <c r="AN25" s="52" t="s">
        <v>33</v>
      </c>
      <c r="AO25" s="46" t="s">
        <v>1053</v>
      </c>
      <c r="AP25" s="3"/>
    </row>
    <row r="26" spans="1:42" ht="48" x14ac:dyDescent="0.2">
      <c r="A26" s="51"/>
      <c r="B26" s="46"/>
      <c r="C26" s="46"/>
      <c r="D26" s="53"/>
      <c r="E26" s="46"/>
      <c r="F26" s="49"/>
      <c r="G26" s="16" t="s">
        <v>197</v>
      </c>
      <c r="H26" s="3" t="s">
        <v>1034</v>
      </c>
      <c r="I26" s="3" t="s">
        <v>1032</v>
      </c>
      <c r="J26" s="3">
        <v>50</v>
      </c>
      <c r="K26" s="3">
        <v>4</v>
      </c>
      <c r="L26" s="3" t="s">
        <v>198</v>
      </c>
      <c r="M26" s="3">
        <v>5</v>
      </c>
      <c r="N26" s="3" t="s">
        <v>1084</v>
      </c>
      <c r="O26" s="3" t="s">
        <v>1154</v>
      </c>
      <c r="P26" s="3" t="s">
        <v>33</v>
      </c>
      <c r="Q26" s="3">
        <v>10</v>
      </c>
      <c r="R26" s="3" t="s">
        <v>199</v>
      </c>
      <c r="S26" s="3" t="s">
        <v>31</v>
      </c>
      <c r="T26" s="1" t="s">
        <v>35</v>
      </c>
      <c r="U26" s="50"/>
      <c r="V26" s="46"/>
      <c r="W26" s="46"/>
      <c r="X26" s="46"/>
      <c r="Y26" s="46"/>
      <c r="Z26" s="46"/>
      <c r="AA26" s="49"/>
      <c r="AB26" s="50"/>
      <c r="AC26" s="46"/>
      <c r="AD26" s="3" t="s">
        <v>1353</v>
      </c>
      <c r="AE26" s="3" t="s">
        <v>33</v>
      </c>
      <c r="AF26" s="3" t="s">
        <v>30</v>
      </c>
      <c r="AG26" s="3" t="s">
        <v>30</v>
      </c>
      <c r="AH26" s="1" t="s">
        <v>33</v>
      </c>
      <c r="AI26" s="52"/>
      <c r="AJ26" s="52"/>
      <c r="AK26" s="52"/>
      <c r="AL26" s="52"/>
      <c r="AM26" s="52"/>
      <c r="AN26" s="52"/>
      <c r="AO26" s="46"/>
      <c r="AP26" s="3"/>
    </row>
    <row r="27" spans="1:42" ht="32" x14ac:dyDescent="0.2">
      <c r="A27" s="51"/>
      <c r="B27" s="46"/>
      <c r="C27" s="46"/>
      <c r="D27" s="53"/>
      <c r="E27" s="46"/>
      <c r="F27" s="49"/>
      <c r="G27" s="16" t="s">
        <v>174</v>
      </c>
      <c r="H27" s="3" t="s">
        <v>30</v>
      </c>
      <c r="I27" s="3"/>
      <c r="J27" s="3">
        <v>30</v>
      </c>
      <c r="K27" s="3" t="s">
        <v>31</v>
      </c>
      <c r="L27" s="3" t="s">
        <v>200</v>
      </c>
      <c r="M27" s="3">
        <v>3</v>
      </c>
      <c r="N27" s="3" t="s">
        <v>31</v>
      </c>
      <c r="O27" s="3" t="s">
        <v>1154</v>
      </c>
      <c r="P27" s="3" t="s">
        <v>33</v>
      </c>
      <c r="Q27" s="3">
        <v>4</v>
      </c>
      <c r="R27" s="3" t="s">
        <v>201</v>
      </c>
      <c r="S27" s="3" t="s">
        <v>31</v>
      </c>
      <c r="T27" s="1" t="s">
        <v>35</v>
      </c>
      <c r="U27" s="50"/>
      <c r="V27" s="46"/>
      <c r="W27" s="46"/>
      <c r="X27" s="46"/>
      <c r="Y27" s="46"/>
      <c r="Z27" s="46"/>
      <c r="AA27" s="49"/>
      <c r="AB27" s="50"/>
      <c r="AC27" s="46"/>
      <c r="AD27" s="3" t="s">
        <v>1354</v>
      </c>
      <c r="AE27" s="3" t="s">
        <v>30</v>
      </c>
      <c r="AF27" s="3" t="s">
        <v>33</v>
      </c>
      <c r="AG27" s="3" t="s">
        <v>30</v>
      </c>
      <c r="AH27" s="1" t="s">
        <v>33</v>
      </c>
      <c r="AI27" s="52"/>
      <c r="AJ27" s="52"/>
      <c r="AK27" s="52"/>
      <c r="AL27" s="52"/>
      <c r="AM27" s="52"/>
      <c r="AN27" s="52"/>
      <c r="AO27" s="46"/>
      <c r="AP27" s="3"/>
    </row>
    <row r="28" spans="1:42" ht="48" x14ac:dyDescent="0.2">
      <c r="A28" s="23">
        <v>79</v>
      </c>
      <c r="B28" s="3" t="s">
        <v>202</v>
      </c>
      <c r="C28" s="3" t="s">
        <v>203</v>
      </c>
      <c r="D28" s="3" t="s">
        <v>204</v>
      </c>
      <c r="E28" s="3" t="s">
        <v>85</v>
      </c>
      <c r="F28" s="1">
        <v>2024</v>
      </c>
      <c r="G28" s="16" t="s">
        <v>205</v>
      </c>
      <c r="H28" s="3" t="s">
        <v>30</v>
      </c>
      <c r="I28" s="3"/>
      <c r="J28" s="3">
        <v>100</v>
      </c>
      <c r="K28" s="3" t="s">
        <v>31</v>
      </c>
      <c r="L28" s="3" t="s">
        <v>205</v>
      </c>
      <c r="M28" s="3" t="s">
        <v>31</v>
      </c>
      <c r="N28" s="3" t="s">
        <v>31</v>
      </c>
      <c r="O28" s="3" t="s">
        <v>1154</v>
      </c>
      <c r="P28" s="3" t="s">
        <v>33</v>
      </c>
      <c r="Q28" s="3">
        <v>14</v>
      </c>
      <c r="R28" s="3" t="s">
        <v>1179</v>
      </c>
      <c r="S28" s="3" t="s">
        <v>31</v>
      </c>
      <c r="T28" s="1" t="s">
        <v>31</v>
      </c>
      <c r="U28" s="16" t="s">
        <v>206</v>
      </c>
      <c r="V28" s="3" t="s">
        <v>33</v>
      </c>
      <c r="W28" s="3" t="s">
        <v>207</v>
      </c>
      <c r="X28" s="3" t="s">
        <v>31</v>
      </c>
      <c r="Y28" s="3"/>
      <c r="Z28" s="3">
        <v>5</v>
      </c>
      <c r="AA28" s="1">
        <v>0</v>
      </c>
      <c r="AB28" s="16" t="s">
        <v>1307</v>
      </c>
      <c r="AC28" s="3" t="s">
        <v>40</v>
      </c>
      <c r="AD28" s="3" t="s">
        <v>515</v>
      </c>
      <c r="AE28" s="3" t="s">
        <v>30</v>
      </c>
      <c r="AF28" s="3" t="s">
        <v>33</v>
      </c>
      <c r="AG28" s="3" t="s">
        <v>30</v>
      </c>
      <c r="AH28" s="1" t="s">
        <v>33</v>
      </c>
      <c r="AI28" s="3" t="s">
        <v>209</v>
      </c>
      <c r="AJ28" s="3"/>
      <c r="AK28" s="3" t="s">
        <v>33</v>
      </c>
      <c r="AL28" s="3" t="s">
        <v>33</v>
      </c>
      <c r="AM28" s="3" t="s">
        <v>1035</v>
      </c>
      <c r="AN28" s="3" t="s">
        <v>33</v>
      </c>
      <c r="AO28" s="3" t="s">
        <v>64</v>
      </c>
      <c r="AP28" s="3"/>
    </row>
    <row r="29" spans="1:42" ht="96" x14ac:dyDescent="0.2">
      <c r="A29" s="23">
        <v>35</v>
      </c>
      <c r="B29" s="3" t="s">
        <v>210</v>
      </c>
      <c r="C29" s="3" t="s">
        <v>211</v>
      </c>
      <c r="D29" s="24" t="s">
        <v>212</v>
      </c>
      <c r="E29" s="3" t="s">
        <v>70</v>
      </c>
      <c r="F29" s="1">
        <v>2019</v>
      </c>
      <c r="G29" s="16" t="s">
        <v>213</v>
      </c>
      <c r="H29" s="3" t="s">
        <v>30</v>
      </c>
      <c r="I29" s="3"/>
      <c r="J29" s="3">
        <v>83</v>
      </c>
      <c r="K29" s="3">
        <v>8</v>
      </c>
      <c r="L29" s="3" t="s">
        <v>205</v>
      </c>
      <c r="M29" s="3">
        <v>35</v>
      </c>
      <c r="N29" s="3" t="s">
        <v>1085</v>
      </c>
      <c r="O29" s="3" t="s">
        <v>1154</v>
      </c>
      <c r="P29" s="3" t="s">
        <v>30</v>
      </c>
      <c r="Q29" s="3">
        <v>16</v>
      </c>
      <c r="R29" s="3" t="s">
        <v>1181</v>
      </c>
      <c r="S29" s="3" t="s">
        <v>31</v>
      </c>
      <c r="T29" s="1" t="s">
        <v>31</v>
      </c>
      <c r="U29" s="16" t="s">
        <v>214</v>
      </c>
      <c r="V29" s="3" t="s">
        <v>30</v>
      </c>
      <c r="W29" s="3" t="s">
        <v>31</v>
      </c>
      <c r="X29" s="3" t="s">
        <v>33</v>
      </c>
      <c r="Y29" s="3"/>
      <c r="Z29" s="3">
        <v>2.5</v>
      </c>
      <c r="AA29" s="1" t="s">
        <v>31</v>
      </c>
      <c r="AB29" s="16" t="s">
        <v>39</v>
      </c>
      <c r="AC29" s="3" t="s">
        <v>40</v>
      </c>
      <c r="AD29" s="3" t="s">
        <v>1355</v>
      </c>
      <c r="AE29" s="3" t="s">
        <v>30</v>
      </c>
      <c r="AF29" s="3" t="s">
        <v>30</v>
      </c>
      <c r="AG29" s="3" t="s">
        <v>33</v>
      </c>
      <c r="AH29" s="1" t="s">
        <v>33</v>
      </c>
      <c r="AI29" s="3" t="s">
        <v>33</v>
      </c>
      <c r="AJ29" s="3"/>
      <c r="AK29" s="3" t="s">
        <v>33</v>
      </c>
      <c r="AL29" s="3" t="s">
        <v>33</v>
      </c>
      <c r="AM29" s="3" t="s">
        <v>1035</v>
      </c>
      <c r="AN29" s="3" t="s">
        <v>33</v>
      </c>
      <c r="AO29" s="3" t="s">
        <v>1053</v>
      </c>
      <c r="AP29" s="3"/>
    </row>
    <row r="30" spans="1:42" ht="32" x14ac:dyDescent="0.2">
      <c r="A30" s="23">
        <v>57</v>
      </c>
      <c r="B30" s="3" t="s">
        <v>215</v>
      </c>
      <c r="C30" s="3" t="s">
        <v>216</v>
      </c>
      <c r="D30" s="24" t="s">
        <v>217</v>
      </c>
      <c r="E30" s="3" t="s">
        <v>117</v>
      </c>
      <c r="F30" s="1">
        <v>2022</v>
      </c>
      <c r="G30" s="16" t="s">
        <v>218</v>
      </c>
      <c r="H30" s="3" t="s">
        <v>30</v>
      </c>
      <c r="I30" s="3"/>
      <c r="J30" s="3">
        <v>25</v>
      </c>
      <c r="K30" s="3" t="s">
        <v>31</v>
      </c>
      <c r="L30" s="3" t="s">
        <v>31</v>
      </c>
      <c r="M30" s="3" t="s">
        <v>31</v>
      </c>
      <c r="N30" s="3" t="s">
        <v>31</v>
      </c>
      <c r="O30" s="3" t="s">
        <v>31</v>
      </c>
      <c r="P30" s="3" t="s">
        <v>31</v>
      </c>
      <c r="Q30" s="3">
        <v>8</v>
      </c>
      <c r="R30" s="3" t="s">
        <v>1180</v>
      </c>
      <c r="S30" s="3" t="s">
        <v>31</v>
      </c>
      <c r="T30" s="1" t="s">
        <v>31</v>
      </c>
      <c r="U30" s="16" t="s">
        <v>219</v>
      </c>
      <c r="V30" s="3" t="s">
        <v>30</v>
      </c>
      <c r="W30" s="3" t="s">
        <v>220</v>
      </c>
      <c r="X30" s="3" t="s">
        <v>33</v>
      </c>
      <c r="Y30" s="3"/>
      <c r="Z30" s="3">
        <v>20</v>
      </c>
      <c r="AA30" s="1" t="s">
        <v>31</v>
      </c>
      <c r="AB30" s="16" t="s">
        <v>31</v>
      </c>
      <c r="AC30" s="3" t="s">
        <v>221</v>
      </c>
      <c r="AD30" s="3" t="s">
        <v>37</v>
      </c>
      <c r="AE30" s="3" t="s">
        <v>30</v>
      </c>
      <c r="AF30" s="3" t="s">
        <v>30</v>
      </c>
      <c r="AG30" s="3" t="s">
        <v>33</v>
      </c>
      <c r="AH30" s="1" t="s">
        <v>33</v>
      </c>
      <c r="AI30" s="3" t="s">
        <v>33</v>
      </c>
      <c r="AJ30" s="3"/>
      <c r="AK30" s="3" t="s">
        <v>33</v>
      </c>
      <c r="AL30" s="3" t="s">
        <v>33</v>
      </c>
      <c r="AM30" s="3" t="s">
        <v>1036</v>
      </c>
      <c r="AN30" s="3" t="s">
        <v>33</v>
      </c>
      <c r="AO30" s="3" t="s">
        <v>64</v>
      </c>
      <c r="AP30" s="3"/>
    </row>
    <row r="31" spans="1:42" ht="32" x14ac:dyDescent="0.2">
      <c r="A31" s="51">
        <v>24</v>
      </c>
      <c r="B31" s="46" t="s">
        <v>222</v>
      </c>
      <c r="C31" s="46" t="s">
        <v>223</v>
      </c>
      <c r="D31" s="53" t="s">
        <v>224</v>
      </c>
      <c r="E31" s="46" t="s">
        <v>117</v>
      </c>
      <c r="F31" s="49">
        <v>2022</v>
      </c>
      <c r="G31" s="16" t="s">
        <v>225</v>
      </c>
      <c r="H31" s="3" t="s">
        <v>30</v>
      </c>
      <c r="I31" s="3"/>
      <c r="J31" s="3" t="s">
        <v>226</v>
      </c>
      <c r="K31" s="3" t="s">
        <v>31</v>
      </c>
      <c r="L31" s="3" t="s">
        <v>227</v>
      </c>
      <c r="M31" s="3">
        <v>9</v>
      </c>
      <c r="N31" s="3" t="s">
        <v>1086</v>
      </c>
      <c r="O31" s="3" t="s">
        <v>1154</v>
      </c>
      <c r="P31" s="3" t="s">
        <v>33</v>
      </c>
      <c r="Q31" s="3">
        <v>6</v>
      </c>
      <c r="R31" s="3" t="s">
        <v>228</v>
      </c>
      <c r="S31" s="3" t="s">
        <v>31</v>
      </c>
      <c r="T31" s="1" t="s">
        <v>31</v>
      </c>
      <c r="U31" s="50" t="s">
        <v>229</v>
      </c>
      <c r="V31" s="46" t="s">
        <v>30</v>
      </c>
      <c r="W31" s="46" t="s">
        <v>230</v>
      </c>
      <c r="X31" s="46" t="s">
        <v>30</v>
      </c>
      <c r="Y31" s="46" t="s">
        <v>1138</v>
      </c>
      <c r="Z31" s="46">
        <v>2.5</v>
      </c>
      <c r="AA31" s="49" t="s">
        <v>31</v>
      </c>
      <c r="AB31" s="50" t="s">
        <v>231</v>
      </c>
      <c r="AC31" s="46" t="s">
        <v>232</v>
      </c>
      <c r="AD31" s="46" t="s">
        <v>233</v>
      </c>
      <c r="AE31" s="46" t="s">
        <v>33</v>
      </c>
      <c r="AF31" s="46" t="s">
        <v>33</v>
      </c>
      <c r="AG31" s="46" t="s">
        <v>30</v>
      </c>
      <c r="AH31" s="49" t="s">
        <v>33</v>
      </c>
      <c r="AI31" s="46" t="s">
        <v>33</v>
      </c>
      <c r="AJ31" s="51"/>
      <c r="AK31" s="46" t="s">
        <v>33</v>
      </c>
      <c r="AL31" s="46" t="s">
        <v>33</v>
      </c>
      <c r="AM31" s="46" t="s">
        <v>1036</v>
      </c>
      <c r="AN31" s="46" t="s">
        <v>33</v>
      </c>
      <c r="AO31" s="46" t="s">
        <v>64</v>
      </c>
      <c r="AP31" s="3"/>
    </row>
    <row r="32" spans="1:42" ht="80" x14ac:dyDescent="0.2">
      <c r="A32" s="51"/>
      <c r="B32" s="46"/>
      <c r="C32" s="46"/>
      <c r="D32" s="53"/>
      <c r="E32" s="46"/>
      <c r="F32" s="49"/>
      <c r="G32" s="16" t="s">
        <v>176</v>
      </c>
      <c r="H32" s="3" t="s">
        <v>30</v>
      </c>
      <c r="I32" s="3"/>
      <c r="J32" s="3">
        <v>100</v>
      </c>
      <c r="K32" s="3" t="s">
        <v>31</v>
      </c>
      <c r="L32" s="3" t="s">
        <v>31</v>
      </c>
      <c r="M32" s="3">
        <v>9</v>
      </c>
      <c r="N32" s="3" t="s">
        <v>1087</v>
      </c>
      <c r="O32" s="3" t="s">
        <v>1154</v>
      </c>
      <c r="P32" s="3" t="s">
        <v>33</v>
      </c>
      <c r="Q32" s="3">
        <v>12</v>
      </c>
      <c r="R32" s="3" t="s">
        <v>1214</v>
      </c>
      <c r="S32" s="3" t="s">
        <v>31</v>
      </c>
      <c r="T32" s="1" t="s">
        <v>80</v>
      </c>
      <c r="U32" s="50"/>
      <c r="V32" s="46"/>
      <c r="W32" s="46"/>
      <c r="X32" s="46"/>
      <c r="Y32" s="46"/>
      <c r="Z32" s="46"/>
      <c r="AA32" s="49"/>
      <c r="AB32" s="50"/>
      <c r="AC32" s="46"/>
      <c r="AD32" s="46"/>
      <c r="AE32" s="46"/>
      <c r="AF32" s="46"/>
      <c r="AG32" s="46"/>
      <c r="AH32" s="49"/>
      <c r="AI32" s="46"/>
      <c r="AJ32" s="51"/>
      <c r="AK32" s="46"/>
      <c r="AL32" s="46"/>
      <c r="AM32" s="46"/>
      <c r="AN32" s="46"/>
      <c r="AO32" s="46"/>
      <c r="AP32" s="3"/>
    </row>
    <row r="33" spans="1:42" ht="64" x14ac:dyDescent="0.2">
      <c r="A33" s="51">
        <v>25</v>
      </c>
      <c r="B33" s="46" t="s">
        <v>234</v>
      </c>
      <c r="C33" s="46" t="s">
        <v>235</v>
      </c>
      <c r="D33" s="53" t="s">
        <v>236</v>
      </c>
      <c r="E33" s="46" t="s">
        <v>237</v>
      </c>
      <c r="F33" s="49">
        <v>2021</v>
      </c>
      <c r="G33" s="16" t="s">
        <v>225</v>
      </c>
      <c r="H33" s="3" t="s">
        <v>30</v>
      </c>
      <c r="I33" s="3"/>
      <c r="J33" s="3">
        <v>100</v>
      </c>
      <c r="K33" s="3" t="s">
        <v>31</v>
      </c>
      <c r="L33" s="3" t="s">
        <v>31</v>
      </c>
      <c r="M33" s="3">
        <v>9</v>
      </c>
      <c r="N33" s="3" t="s">
        <v>31</v>
      </c>
      <c r="O33" s="3" t="s">
        <v>31</v>
      </c>
      <c r="P33" s="3" t="s">
        <v>31</v>
      </c>
      <c r="Q33" s="3">
        <v>6</v>
      </c>
      <c r="R33" s="3" t="s">
        <v>238</v>
      </c>
      <c r="S33" s="3" t="s">
        <v>31</v>
      </c>
      <c r="T33" s="1" t="s">
        <v>31</v>
      </c>
      <c r="U33" s="50" t="s">
        <v>239</v>
      </c>
      <c r="V33" s="46" t="s">
        <v>30</v>
      </c>
      <c r="W33" s="46" t="s">
        <v>240</v>
      </c>
      <c r="X33" s="46" t="s">
        <v>33</v>
      </c>
      <c r="Y33" s="3"/>
      <c r="Z33" s="46">
        <v>1</v>
      </c>
      <c r="AA33" s="49">
        <v>60</v>
      </c>
      <c r="AB33" s="50" t="s">
        <v>39</v>
      </c>
      <c r="AC33" s="46" t="s">
        <v>241</v>
      </c>
      <c r="AD33" s="46" t="s">
        <v>1356</v>
      </c>
      <c r="AE33" s="46" t="s">
        <v>33</v>
      </c>
      <c r="AF33" s="46" t="s">
        <v>33</v>
      </c>
      <c r="AG33" s="46" t="s">
        <v>30</v>
      </c>
      <c r="AH33" s="49" t="s">
        <v>33</v>
      </c>
      <c r="AI33" s="3" t="s">
        <v>30</v>
      </c>
      <c r="AJ33" s="3" t="s">
        <v>242</v>
      </c>
      <c r="AK33" s="46" t="s">
        <v>30</v>
      </c>
      <c r="AL33" s="46" t="s">
        <v>30</v>
      </c>
      <c r="AM33" s="46"/>
      <c r="AN33" s="46" t="s">
        <v>30</v>
      </c>
      <c r="AO33" s="46"/>
      <c r="AP33" s="3"/>
    </row>
    <row r="34" spans="1:42" ht="32" x14ac:dyDescent="0.2">
      <c r="A34" s="51"/>
      <c r="B34" s="46"/>
      <c r="C34" s="46"/>
      <c r="D34" s="53"/>
      <c r="E34" s="46"/>
      <c r="F34" s="49"/>
      <c r="G34" s="16" t="s">
        <v>243</v>
      </c>
      <c r="H34" s="3" t="s">
        <v>30</v>
      </c>
      <c r="I34" s="3"/>
      <c r="J34" s="3">
        <v>50</v>
      </c>
      <c r="K34" s="3" t="s">
        <v>31</v>
      </c>
      <c r="L34" s="3" t="s">
        <v>31</v>
      </c>
      <c r="M34" s="3">
        <v>15</v>
      </c>
      <c r="N34" s="3" t="s">
        <v>31</v>
      </c>
      <c r="O34" s="3" t="s">
        <v>31</v>
      </c>
      <c r="P34" s="3" t="s">
        <v>31</v>
      </c>
      <c r="Q34" s="3">
        <v>8</v>
      </c>
      <c r="R34" s="3" t="s">
        <v>244</v>
      </c>
      <c r="S34" s="3" t="s">
        <v>31</v>
      </c>
      <c r="T34" s="1" t="s">
        <v>31</v>
      </c>
      <c r="U34" s="50"/>
      <c r="V34" s="46"/>
      <c r="W34" s="46"/>
      <c r="X34" s="46"/>
      <c r="Y34" s="3"/>
      <c r="Z34" s="46"/>
      <c r="AA34" s="49"/>
      <c r="AB34" s="50"/>
      <c r="AC34" s="46"/>
      <c r="AD34" s="46"/>
      <c r="AE34" s="46"/>
      <c r="AF34" s="46"/>
      <c r="AG34" s="46"/>
      <c r="AH34" s="49"/>
      <c r="AI34" s="3"/>
      <c r="AJ34" s="3"/>
      <c r="AK34" s="46"/>
      <c r="AL34" s="46"/>
      <c r="AM34" s="46"/>
      <c r="AN34" s="46"/>
      <c r="AO34" s="46"/>
      <c r="AP34" s="3"/>
    </row>
    <row r="35" spans="1:42" ht="80" x14ac:dyDescent="0.2">
      <c r="A35" s="23">
        <v>88</v>
      </c>
      <c r="B35" s="3" t="s">
        <v>245</v>
      </c>
      <c r="C35" s="3" t="s">
        <v>246</v>
      </c>
      <c r="D35" s="24" t="s">
        <v>247</v>
      </c>
      <c r="E35" s="3" t="s">
        <v>28</v>
      </c>
      <c r="F35" s="1">
        <v>2024</v>
      </c>
      <c r="G35" s="16" t="s">
        <v>225</v>
      </c>
      <c r="H35" s="3" t="s">
        <v>30</v>
      </c>
      <c r="I35" s="3"/>
      <c r="J35" s="3" t="s">
        <v>248</v>
      </c>
      <c r="K35" s="3" t="s">
        <v>31</v>
      </c>
      <c r="L35" s="3" t="s">
        <v>249</v>
      </c>
      <c r="M35" s="3">
        <v>9</v>
      </c>
      <c r="N35" s="3" t="s">
        <v>31</v>
      </c>
      <c r="O35" s="3" t="s">
        <v>1154</v>
      </c>
      <c r="P35" s="3" t="s">
        <v>30</v>
      </c>
      <c r="Q35" s="3">
        <v>6</v>
      </c>
      <c r="R35" s="3" t="s">
        <v>250</v>
      </c>
      <c r="S35" s="3" t="s">
        <v>31</v>
      </c>
      <c r="T35" s="1" t="s">
        <v>31</v>
      </c>
      <c r="U35" s="16" t="s">
        <v>251</v>
      </c>
      <c r="V35" s="3" t="s">
        <v>30</v>
      </c>
      <c r="W35" s="3" t="s">
        <v>240</v>
      </c>
      <c r="X35" s="3" t="s">
        <v>33</v>
      </c>
      <c r="Y35" s="3"/>
      <c r="Z35" s="3">
        <v>2</v>
      </c>
      <c r="AA35" s="1" t="s">
        <v>252</v>
      </c>
      <c r="AB35" s="16" t="s">
        <v>231</v>
      </c>
      <c r="AC35" s="3" t="s">
        <v>102</v>
      </c>
      <c r="AD35" s="3" t="s">
        <v>253</v>
      </c>
      <c r="AE35" s="3" t="s">
        <v>33</v>
      </c>
      <c r="AF35" s="3" t="s">
        <v>33</v>
      </c>
      <c r="AG35" s="3" t="s">
        <v>30</v>
      </c>
      <c r="AH35" s="1" t="s">
        <v>33</v>
      </c>
      <c r="AI35" s="3" t="s">
        <v>33</v>
      </c>
      <c r="AJ35" s="3"/>
      <c r="AK35" s="3" t="s">
        <v>33</v>
      </c>
      <c r="AL35" s="3" t="s">
        <v>30</v>
      </c>
      <c r="AM35" s="3"/>
      <c r="AN35" s="3" t="s">
        <v>30</v>
      </c>
      <c r="AO35" s="3"/>
      <c r="AP35" s="3"/>
    </row>
    <row r="36" spans="1:42" ht="96" x14ac:dyDescent="0.2">
      <c r="A36" s="23">
        <v>56</v>
      </c>
      <c r="B36" s="3" t="s">
        <v>254</v>
      </c>
      <c r="C36" s="3" t="s">
        <v>255</v>
      </c>
      <c r="D36" s="24" t="s">
        <v>256</v>
      </c>
      <c r="E36" s="3" t="s">
        <v>181</v>
      </c>
      <c r="F36" s="1">
        <v>2018</v>
      </c>
      <c r="G36" s="16" t="s">
        <v>225</v>
      </c>
      <c r="H36" s="3" t="s">
        <v>30</v>
      </c>
      <c r="I36" s="3"/>
      <c r="J36" s="3">
        <v>50</v>
      </c>
      <c r="K36" s="3" t="s">
        <v>31</v>
      </c>
      <c r="L36" s="3" t="s">
        <v>909</v>
      </c>
      <c r="M36" s="3">
        <v>9</v>
      </c>
      <c r="N36" s="3" t="s">
        <v>31</v>
      </c>
      <c r="O36" s="3" t="s">
        <v>1154</v>
      </c>
      <c r="P36" s="3" t="s">
        <v>30</v>
      </c>
      <c r="Q36" s="3">
        <v>6</v>
      </c>
      <c r="R36" s="26" t="s">
        <v>1182</v>
      </c>
      <c r="S36" s="3" t="s">
        <v>31</v>
      </c>
      <c r="T36" s="1" t="s">
        <v>35</v>
      </c>
      <c r="U36" s="16" t="s">
        <v>257</v>
      </c>
      <c r="V36" s="3" t="s">
        <v>30</v>
      </c>
      <c r="W36" s="3" t="s">
        <v>258</v>
      </c>
      <c r="X36" s="3" t="s">
        <v>30</v>
      </c>
      <c r="Y36" s="3" t="s">
        <v>1239</v>
      </c>
      <c r="Z36" s="3">
        <v>3</v>
      </c>
      <c r="AA36" s="1">
        <v>66</v>
      </c>
      <c r="AB36" s="16" t="s">
        <v>39</v>
      </c>
      <c r="AC36" s="3" t="s">
        <v>1333</v>
      </c>
      <c r="AD36" s="3" t="s">
        <v>259</v>
      </c>
      <c r="AE36" s="3" t="s">
        <v>30</v>
      </c>
      <c r="AF36" s="3" t="s">
        <v>30</v>
      </c>
      <c r="AG36" s="3" t="s">
        <v>33</v>
      </c>
      <c r="AH36" s="1" t="s">
        <v>33</v>
      </c>
      <c r="AI36" s="3" t="s">
        <v>33</v>
      </c>
      <c r="AJ36" s="3"/>
      <c r="AK36" s="3" t="s">
        <v>33</v>
      </c>
      <c r="AL36" s="3" t="s">
        <v>33</v>
      </c>
      <c r="AM36" s="3" t="s">
        <v>1040</v>
      </c>
      <c r="AN36" s="3" t="s">
        <v>33</v>
      </c>
      <c r="AO36" s="3" t="s">
        <v>1053</v>
      </c>
      <c r="AP36" s="3"/>
    </row>
    <row r="37" spans="1:42" ht="32" x14ac:dyDescent="0.2">
      <c r="A37" s="51">
        <v>84</v>
      </c>
      <c r="B37" s="46" t="s">
        <v>260</v>
      </c>
      <c r="C37" s="46" t="s">
        <v>261</v>
      </c>
      <c r="D37" s="53" t="s">
        <v>262</v>
      </c>
      <c r="E37" s="46" t="s">
        <v>107</v>
      </c>
      <c r="F37" s="49">
        <v>2020</v>
      </c>
      <c r="G37" s="16" t="s">
        <v>174</v>
      </c>
      <c r="H37" s="3" t="s">
        <v>30</v>
      </c>
      <c r="I37" s="3"/>
      <c r="J37" s="3">
        <v>30</v>
      </c>
      <c r="K37" s="3" t="s">
        <v>31</v>
      </c>
      <c r="L37" s="3" t="s">
        <v>31</v>
      </c>
      <c r="M37" s="3">
        <v>15</v>
      </c>
      <c r="N37" s="3" t="s">
        <v>31</v>
      </c>
      <c r="O37" s="3" t="s">
        <v>1154</v>
      </c>
      <c r="P37" s="3" t="s">
        <v>33</v>
      </c>
      <c r="Q37" s="3">
        <v>5</v>
      </c>
      <c r="R37" s="3" t="s">
        <v>263</v>
      </c>
      <c r="S37" s="3" t="s">
        <v>31</v>
      </c>
      <c r="T37" s="1" t="s">
        <v>31</v>
      </c>
      <c r="U37" s="50" t="s">
        <v>264</v>
      </c>
      <c r="V37" s="46" t="s">
        <v>33</v>
      </c>
      <c r="W37" s="46" t="s">
        <v>31</v>
      </c>
      <c r="X37" s="46" t="s">
        <v>33</v>
      </c>
      <c r="Y37" s="51"/>
      <c r="Z37" s="46">
        <v>3</v>
      </c>
      <c r="AA37" s="49">
        <v>0</v>
      </c>
      <c r="AB37" s="50" t="s">
        <v>31</v>
      </c>
      <c r="AC37" s="46" t="s">
        <v>265</v>
      </c>
      <c r="AD37" s="46" t="s">
        <v>266</v>
      </c>
      <c r="AE37" s="46" t="s">
        <v>33</v>
      </c>
      <c r="AF37" s="46" t="s">
        <v>30</v>
      </c>
      <c r="AG37" s="46" t="s">
        <v>30</v>
      </c>
      <c r="AH37" s="49" t="s">
        <v>33</v>
      </c>
      <c r="AI37" s="46" t="s">
        <v>33</v>
      </c>
      <c r="AJ37" s="51"/>
      <c r="AK37" s="46" t="s">
        <v>33</v>
      </c>
      <c r="AL37" s="46" t="s">
        <v>30</v>
      </c>
      <c r="AM37" s="46"/>
      <c r="AN37" s="46" t="s">
        <v>33</v>
      </c>
      <c r="AO37" s="46" t="s">
        <v>64</v>
      </c>
      <c r="AP37" s="3"/>
    </row>
    <row r="38" spans="1:42" ht="32" x14ac:dyDescent="0.2">
      <c r="A38" s="51"/>
      <c r="B38" s="46"/>
      <c r="C38" s="46"/>
      <c r="D38" s="53"/>
      <c r="E38" s="46"/>
      <c r="F38" s="49"/>
      <c r="G38" s="16" t="s">
        <v>243</v>
      </c>
      <c r="H38" s="3" t="s">
        <v>30</v>
      </c>
      <c r="I38" s="3"/>
      <c r="J38" s="3">
        <v>50</v>
      </c>
      <c r="K38" s="3" t="s">
        <v>31</v>
      </c>
      <c r="L38" s="3" t="s">
        <v>31</v>
      </c>
      <c r="M38" s="3">
        <v>4</v>
      </c>
      <c r="N38" s="3" t="s">
        <v>31</v>
      </c>
      <c r="O38" s="3" t="s">
        <v>31</v>
      </c>
      <c r="P38" s="3" t="s">
        <v>33</v>
      </c>
      <c r="Q38" s="3">
        <v>7</v>
      </c>
      <c r="R38" s="3" t="s">
        <v>1183</v>
      </c>
      <c r="S38" s="3" t="s">
        <v>31</v>
      </c>
      <c r="T38" s="1" t="s">
        <v>31</v>
      </c>
      <c r="U38" s="50"/>
      <c r="V38" s="46"/>
      <c r="W38" s="46"/>
      <c r="X38" s="46"/>
      <c r="Y38" s="51"/>
      <c r="Z38" s="46"/>
      <c r="AA38" s="49"/>
      <c r="AB38" s="50"/>
      <c r="AC38" s="46"/>
      <c r="AD38" s="46"/>
      <c r="AE38" s="46"/>
      <c r="AF38" s="46"/>
      <c r="AG38" s="46"/>
      <c r="AH38" s="49"/>
      <c r="AI38" s="46"/>
      <c r="AJ38" s="51"/>
      <c r="AK38" s="46"/>
      <c r="AL38" s="46"/>
      <c r="AM38" s="46"/>
      <c r="AN38" s="46"/>
      <c r="AO38" s="46"/>
      <c r="AP38" s="3"/>
    </row>
    <row r="39" spans="1:42" ht="32" x14ac:dyDescent="0.2">
      <c r="A39" s="51"/>
      <c r="B39" s="46"/>
      <c r="C39" s="46"/>
      <c r="D39" s="53"/>
      <c r="E39" s="46"/>
      <c r="F39" s="49"/>
      <c r="G39" s="16" t="s">
        <v>225</v>
      </c>
      <c r="H39" s="3" t="s">
        <v>30</v>
      </c>
      <c r="I39" s="3"/>
      <c r="J39" s="3" t="s">
        <v>1069</v>
      </c>
      <c r="K39" s="3" t="s">
        <v>31</v>
      </c>
      <c r="L39" s="3" t="s">
        <v>31</v>
      </c>
      <c r="M39" s="3">
        <v>9</v>
      </c>
      <c r="N39" s="3" t="s">
        <v>31</v>
      </c>
      <c r="O39" s="3" t="s">
        <v>31</v>
      </c>
      <c r="P39" s="3" t="s">
        <v>30</v>
      </c>
      <c r="Q39" s="3">
        <v>6</v>
      </c>
      <c r="R39" s="3" t="s">
        <v>267</v>
      </c>
      <c r="S39" s="3" t="s">
        <v>31</v>
      </c>
      <c r="T39" s="1" t="s">
        <v>35</v>
      </c>
      <c r="U39" s="50"/>
      <c r="V39" s="46"/>
      <c r="W39" s="46"/>
      <c r="X39" s="46"/>
      <c r="Y39" s="51"/>
      <c r="Z39" s="46"/>
      <c r="AA39" s="49"/>
      <c r="AB39" s="50"/>
      <c r="AC39" s="46"/>
      <c r="AD39" s="46"/>
      <c r="AE39" s="46"/>
      <c r="AF39" s="46"/>
      <c r="AG39" s="46"/>
      <c r="AH39" s="49"/>
      <c r="AI39" s="46"/>
      <c r="AJ39" s="51"/>
      <c r="AK39" s="46"/>
      <c r="AL39" s="46"/>
      <c r="AM39" s="46"/>
      <c r="AN39" s="46"/>
      <c r="AO39" s="46"/>
      <c r="AP39" s="3"/>
    </row>
    <row r="40" spans="1:42" ht="64" x14ac:dyDescent="0.2">
      <c r="A40" s="23">
        <v>77</v>
      </c>
      <c r="B40" s="3" t="s">
        <v>268</v>
      </c>
      <c r="C40" s="3" t="s">
        <v>150</v>
      </c>
      <c r="D40" s="24" t="s">
        <v>269</v>
      </c>
      <c r="E40" s="3" t="s">
        <v>56</v>
      </c>
      <c r="F40" s="1">
        <v>2023</v>
      </c>
      <c r="G40" s="16" t="s">
        <v>1062</v>
      </c>
      <c r="H40" s="3" t="s">
        <v>30</v>
      </c>
      <c r="I40" s="3"/>
      <c r="J40" s="3" t="s">
        <v>31</v>
      </c>
      <c r="K40" s="3" t="s">
        <v>31</v>
      </c>
      <c r="L40" s="3" t="s">
        <v>31</v>
      </c>
      <c r="M40" s="3" t="s">
        <v>31</v>
      </c>
      <c r="N40" s="3" t="s">
        <v>31</v>
      </c>
      <c r="O40" s="3" t="s">
        <v>31</v>
      </c>
      <c r="P40" s="3" t="s">
        <v>31</v>
      </c>
      <c r="Q40" s="3">
        <v>6</v>
      </c>
      <c r="R40" s="3" t="s">
        <v>270</v>
      </c>
      <c r="S40" s="3" t="s">
        <v>31</v>
      </c>
      <c r="T40" s="1" t="s">
        <v>80</v>
      </c>
      <c r="U40" s="16" t="s">
        <v>1217</v>
      </c>
      <c r="V40" s="3" t="s">
        <v>30</v>
      </c>
      <c r="W40" s="3" t="s">
        <v>31</v>
      </c>
      <c r="X40" s="3" t="s">
        <v>33</v>
      </c>
      <c r="Y40" s="3"/>
      <c r="Z40" s="3" t="s">
        <v>31</v>
      </c>
      <c r="AA40" s="1">
        <v>50</v>
      </c>
      <c r="AB40" s="16" t="s">
        <v>74</v>
      </c>
      <c r="AC40" s="3" t="s">
        <v>271</v>
      </c>
      <c r="AD40" s="3" t="s">
        <v>37</v>
      </c>
      <c r="AE40" s="3" t="s">
        <v>33</v>
      </c>
      <c r="AF40" s="3" t="s">
        <v>30</v>
      </c>
      <c r="AG40" s="3" t="s">
        <v>33</v>
      </c>
      <c r="AH40" s="1" t="s">
        <v>33</v>
      </c>
      <c r="AI40" s="3" t="s">
        <v>33</v>
      </c>
      <c r="AJ40" s="3"/>
      <c r="AK40" s="3" t="s">
        <v>33</v>
      </c>
      <c r="AL40" s="3" t="s">
        <v>33</v>
      </c>
      <c r="AM40" s="3" t="s">
        <v>1035</v>
      </c>
      <c r="AN40" s="3" t="s">
        <v>33</v>
      </c>
      <c r="AO40" s="3" t="s">
        <v>64</v>
      </c>
      <c r="AP40" s="3"/>
    </row>
    <row r="41" spans="1:42" ht="160" x14ac:dyDescent="0.2">
      <c r="A41" s="23">
        <v>43</v>
      </c>
      <c r="B41" s="3" t="s">
        <v>272</v>
      </c>
      <c r="C41" s="3" t="s">
        <v>273</v>
      </c>
      <c r="D41" s="24" t="s">
        <v>274</v>
      </c>
      <c r="E41" s="3" t="s">
        <v>117</v>
      </c>
      <c r="F41" s="1">
        <v>2022</v>
      </c>
      <c r="G41" s="16" t="s">
        <v>1061</v>
      </c>
      <c r="H41" s="3" t="s">
        <v>30</v>
      </c>
      <c r="I41" s="3"/>
      <c r="J41" s="3">
        <v>90</v>
      </c>
      <c r="K41" s="3" t="s">
        <v>31</v>
      </c>
      <c r="L41" s="3" t="s">
        <v>280</v>
      </c>
      <c r="M41" s="3">
        <v>53</v>
      </c>
      <c r="N41" s="3" t="s">
        <v>1088</v>
      </c>
      <c r="O41" s="3" t="s">
        <v>1154</v>
      </c>
      <c r="P41" s="3" t="s">
        <v>33</v>
      </c>
      <c r="Q41" s="3">
        <v>4</v>
      </c>
      <c r="R41" s="3" t="s">
        <v>1184</v>
      </c>
      <c r="S41" s="3" t="s">
        <v>31</v>
      </c>
      <c r="T41" s="1" t="s">
        <v>31</v>
      </c>
      <c r="U41" s="16" t="s">
        <v>1218</v>
      </c>
      <c r="V41" s="3" t="s">
        <v>30</v>
      </c>
      <c r="W41" s="3" t="s">
        <v>31</v>
      </c>
      <c r="X41" s="3" t="s">
        <v>33</v>
      </c>
      <c r="Y41" s="3"/>
      <c r="Z41" s="3">
        <v>30</v>
      </c>
      <c r="AA41" s="1" t="s">
        <v>31</v>
      </c>
      <c r="AB41" s="16" t="s">
        <v>39</v>
      </c>
      <c r="AC41" s="3" t="s">
        <v>40</v>
      </c>
      <c r="AD41" s="3" t="s">
        <v>266</v>
      </c>
      <c r="AE41" s="3" t="s">
        <v>33</v>
      </c>
      <c r="AF41" s="3" t="s">
        <v>30</v>
      </c>
      <c r="AG41" s="3" t="s">
        <v>33</v>
      </c>
      <c r="AH41" s="1" t="s">
        <v>33</v>
      </c>
      <c r="AI41" s="3" t="s">
        <v>33</v>
      </c>
      <c r="AJ41" s="3"/>
      <c r="AK41" s="3" t="s">
        <v>33</v>
      </c>
      <c r="AL41" s="3" t="s">
        <v>33</v>
      </c>
      <c r="AM41" s="3" t="s">
        <v>1036</v>
      </c>
      <c r="AN41" s="3" t="s">
        <v>33</v>
      </c>
      <c r="AO41" s="3" t="s">
        <v>1053</v>
      </c>
      <c r="AP41" s="3"/>
    </row>
    <row r="42" spans="1:42" ht="96" x14ac:dyDescent="0.2">
      <c r="A42" s="23">
        <v>137</v>
      </c>
      <c r="B42" s="3" t="s">
        <v>275</v>
      </c>
      <c r="C42" s="3" t="s">
        <v>276</v>
      </c>
      <c r="D42" s="3" t="s">
        <v>277</v>
      </c>
      <c r="E42" s="3" t="s">
        <v>278</v>
      </c>
      <c r="F42" s="1">
        <v>2013</v>
      </c>
      <c r="G42" s="16" t="s">
        <v>279</v>
      </c>
      <c r="H42" s="3" t="s">
        <v>30</v>
      </c>
      <c r="I42" s="3"/>
      <c r="J42" s="3">
        <v>90</v>
      </c>
      <c r="K42" s="3">
        <v>4</v>
      </c>
      <c r="L42" s="3" t="s">
        <v>280</v>
      </c>
      <c r="M42" s="3" t="s">
        <v>281</v>
      </c>
      <c r="N42" s="3" t="s">
        <v>1089</v>
      </c>
      <c r="O42" s="3" t="s">
        <v>1154</v>
      </c>
      <c r="P42" s="3" t="s">
        <v>31</v>
      </c>
      <c r="Q42" s="3" t="s">
        <v>282</v>
      </c>
      <c r="R42" s="3" t="s">
        <v>283</v>
      </c>
      <c r="S42" s="3" t="s">
        <v>284</v>
      </c>
      <c r="T42" s="1" t="s">
        <v>80</v>
      </c>
      <c r="U42" s="16" t="s">
        <v>285</v>
      </c>
      <c r="V42" s="3" t="s">
        <v>33</v>
      </c>
      <c r="W42" s="3" t="s">
        <v>286</v>
      </c>
      <c r="X42" s="3" t="s">
        <v>30</v>
      </c>
      <c r="Y42" s="3" t="s">
        <v>1240</v>
      </c>
      <c r="Z42" s="3">
        <v>12.8</v>
      </c>
      <c r="AA42" s="1" t="s">
        <v>31</v>
      </c>
      <c r="AB42" s="16" t="s">
        <v>287</v>
      </c>
      <c r="AC42" s="3" t="s">
        <v>1334</v>
      </c>
      <c r="AD42" s="3" t="s">
        <v>1357</v>
      </c>
      <c r="AE42" s="3" t="s">
        <v>30</v>
      </c>
      <c r="AF42" s="3" t="s">
        <v>30</v>
      </c>
      <c r="AG42" s="3" t="s">
        <v>33</v>
      </c>
      <c r="AH42" s="1" t="s">
        <v>33</v>
      </c>
      <c r="AI42" s="3" t="s">
        <v>30</v>
      </c>
      <c r="AJ42" s="3" t="s">
        <v>1054</v>
      </c>
      <c r="AK42" s="3" t="s">
        <v>33</v>
      </c>
      <c r="AL42" s="3" t="s">
        <v>30</v>
      </c>
      <c r="AM42" s="3"/>
      <c r="AN42" s="3" t="s">
        <v>30</v>
      </c>
      <c r="AO42" s="3"/>
      <c r="AP42" s="3"/>
    </row>
    <row r="43" spans="1:42" ht="48" x14ac:dyDescent="0.2">
      <c r="A43" s="23">
        <v>126</v>
      </c>
      <c r="B43" s="3" t="s">
        <v>288</v>
      </c>
      <c r="C43" s="3" t="s">
        <v>276</v>
      </c>
      <c r="D43" s="3" t="s">
        <v>289</v>
      </c>
      <c r="E43" s="27" t="s">
        <v>290</v>
      </c>
      <c r="F43" s="1">
        <v>2017</v>
      </c>
      <c r="G43" s="16" t="s">
        <v>291</v>
      </c>
      <c r="H43" s="3" t="s">
        <v>30</v>
      </c>
      <c r="I43" s="3"/>
      <c r="J43" s="3">
        <v>90</v>
      </c>
      <c r="K43" s="3">
        <v>4</v>
      </c>
      <c r="L43" s="3" t="s">
        <v>280</v>
      </c>
      <c r="M43" s="3">
        <v>20</v>
      </c>
      <c r="N43" s="3" t="s">
        <v>1090</v>
      </c>
      <c r="O43" s="3" t="s">
        <v>1154</v>
      </c>
      <c r="P43" s="3" t="s">
        <v>31</v>
      </c>
      <c r="Q43" s="3" t="s">
        <v>292</v>
      </c>
      <c r="R43" s="3" t="s">
        <v>293</v>
      </c>
      <c r="S43" s="3" t="s">
        <v>1138</v>
      </c>
      <c r="T43" s="1" t="s">
        <v>80</v>
      </c>
      <c r="U43" s="16" t="s">
        <v>285</v>
      </c>
      <c r="V43" s="3" t="s">
        <v>33</v>
      </c>
      <c r="W43" s="3" t="s">
        <v>286</v>
      </c>
      <c r="X43" s="3" t="s">
        <v>30</v>
      </c>
      <c r="Y43" s="3" t="s">
        <v>1235</v>
      </c>
      <c r="Z43" s="3">
        <v>12.8</v>
      </c>
      <c r="AA43" s="1">
        <v>0</v>
      </c>
      <c r="AB43" s="16" t="s">
        <v>287</v>
      </c>
      <c r="AC43" s="3" t="s">
        <v>40</v>
      </c>
      <c r="AD43" s="3" t="s">
        <v>294</v>
      </c>
      <c r="AE43" s="3" t="s">
        <v>30</v>
      </c>
      <c r="AF43" s="3" t="s">
        <v>30</v>
      </c>
      <c r="AG43" s="3" t="s">
        <v>33</v>
      </c>
      <c r="AH43" s="1" t="s">
        <v>33</v>
      </c>
      <c r="AI43" s="3" t="s">
        <v>30</v>
      </c>
      <c r="AJ43" s="3" t="s">
        <v>1054</v>
      </c>
      <c r="AK43" s="3" t="s">
        <v>33</v>
      </c>
      <c r="AL43" s="3" t="s">
        <v>30</v>
      </c>
      <c r="AM43" s="3"/>
      <c r="AN43" s="3" t="s">
        <v>30</v>
      </c>
      <c r="AO43" s="3"/>
      <c r="AP43" s="3"/>
    </row>
    <row r="44" spans="1:42" ht="32" x14ac:dyDescent="0.2">
      <c r="A44" s="51">
        <v>2</v>
      </c>
      <c r="B44" s="46" t="s">
        <v>295</v>
      </c>
      <c r="C44" s="46" t="s">
        <v>276</v>
      </c>
      <c r="D44" s="53" t="s">
        <v>296</v>
      </c>
      <c r="E44" s="46" t="s">
        <v>297</v>
      </c>
      <c r="F44" s="49">
        <v>2019</v>
      </c>
      <c r="G44" s="50" t="s">
        <v>1061</v>
      </c>
      <c r="H44" s="46" t="s">
        <v>30</v>
      </c>
      <c r="I44" s="51"/>
      <c r="J44" s="46">
        <v>90</v>
      </c>
      <c r="K44" s="46">
        <v>4</v>
      </c>
      <c r="L44" s="46" t="s">
        <v>280</v>
      </c>
      <c r="M44" s="3">
        <v>33</v>
      </c>
      <c r="N44" s="3" t="s">
        <v>1091</v>
      </c>
      <c r="O44" s="3" t="s">
        <v>1154</v>
      </c>
      <c r="P44" s="54" t="s">
        <v>31</v>
      </c>
      <c r="Q44" s="46">
        <v>4</v>
      </c>
      <c r="R44" s="46" t="s">
        <v>298</v>
      </c>
      <c r="S44" s="46" t="s">
        <v>1095</v>
      </c>
      <c r="T44" s="49" t="s">
        <v>80</v>
      </c>
      <c r="U44" s="50" t="s">
        <v>285</v>
      </c>
      <c r="V44" s="46" t="s">
        <v>33</v>
      </c>
      <c r="W44" s="46" t="s">
        <v>299</v>
      </c>
      <c r="X44" s="46" t="s">
        <v>30</v>
      </c>
      <c r="Y44" s="46" t="s">
        <v>1241</v>
      </c>
      <c r="Z44" s="46">
        <v>12.8</v>
      </c>
      <c r="AA44" s="49">
        <v>0</v>
      </c>
      <c r="AB44" s="50" t="s">
        <v>39</v>
      </c>
      <c r="AC44" s="46" t="s">
        <v>300</v>
      </c>
      <c r="AD44" s="46" t="s">
        <v>62</v>
      </c>
      <c r="AE44" s="46" t="s">
        <v>33</v>
      </c>
      <c r="AF44" s="46" t="s">
        <v>33</v>
      </c>
      <c r="AG44" s="46" t="s">
        <v>33</v>
      </c>
      <c r="AH44" s="49" t="s">
        <v>33</v>
      </c>
      <c r="AI44" s="46" t="s">
        <v>33</v>
      </c>
      <c r="AJ44" s="51"/>
      <c r="AK44" s="46" t="s">
        <v>33</v>
      </c>
      <c r="AL44" s="46" t="s">
        <v>30</v>
      </c>
      <c r="AM44" s="46"/>
      <c r="AN44" s="46" t="s">
        <v>30</v>
      </c>
      <c r="AO44" s="46"/>
      <c r="AP44" s="3"/>
    </row>
    <row r="45" spans="1:42" ht="32" x14ac:dyDescent="0.2">
      <c r="A45" s="51"/>
      <c r="B45" s="46"/>
      <c r="C45" s="46"/>
      <c r="D45" s="53"/>
      <c r="E45" s="46"/>
      <c r="F45" s="49"/>
      <c r="G45" s="50"/>
      <c r="H45" s="46"/>
      <c r="I45" s="51"/>
      <c r="J45" s="46"/>
      <c r="K45" s="46"/>
      <c r="L45" s="46"/>
      <c r="M45" s="3">
        <v>20</v>
      </c>
      <c r="N45" s="3" t="s">
        <v>1092</v>
      </c>
      <c r="O45" s="3" t="s">
        <v>1154</v>
      </c>
      <c r="P45" s="54"/>
      <c r="Q45" s="46"/>
      <c r="R45" s="46"/>
      <c r="S45" s="46"/>
      <c r="T45" s="49"/>
      <c r="U45" s="50"/>
      <c r="V45" s="46"/>
      <c r="W45" s="46"/>
      <c r="X45" s="46"/>
      <c r="Y45" s="46"/>
      <c r="Z45" s="46"/>
      <c r="AA45" s="49"/>
      <c r="AB45" s="50"/>
      <c r="AC45" s="46"/>
      <c r="AD45" s="46"/>
      <c r="AE45" s="46"/>
      <c r="AF45" s="46"/>
      <c r="AG45" s="46"/>
      <c r="AH45" s="49"/>
      <c r="AI45" s="46"/>
      <c r="AJ45" s="51"/>
      <c r="AK45" s="46"/>
      <c r="AL45" s="46"/>
      <c r="AM45" s="46"/>
      <c r="AN45" s="46"/>
      <c r="AO45" s="46"/>
      <c r="AP45" s="3"/>
    </row>
    <row r="46" spans="1:42" ht="96" x14ac:dyDescent="0.2">
      <c r="A46" s="23">
        <v>44</v>
      </c>
      <c r="B46" s="3" t="s">
        <v>301</v>
      </c>
      <c r="C46" s="3" t="s">
        <v>302</v>
      </c>
      <c r="D46" s="24" t="s">
        <v>303</v>
      </c>
      <c r="E46" s="3" t="s">
        <v>160</v>
      </c>
      <c r="F46" s="1">
        <v>2021</v>
      </c>
      <c r="G46" s="16" t="s">
        <v>147</v>
      </c>
      <c r="H46" s="3" t="s">
        <v>30</v>
      </c>
      <c r="I46" s="3"/>
      <c r="J46" s="3">
        <v>50</v>
      </c>
      <c r="K46" s="3" t="s">
        <v>31</v>
      </c>
      <c r="L46" s="3" t="s">
        <v>31</v>
      </c>
      <c r="M46" s="3">
        <v>10</v>
      </c>
      <c r="N46" s="3" t="s">
        <v>1093</v>
      </c>
      <c r="O46" s="3" t="s">
        <v>1154</v>
      </c>
      <c r="P46" s="3" t="s">
        <v>31</v>
      </c>
      <c r="Q46" s="3">
        <v>12</v>
      </c>
      <c r="R46" s="3" t="s">
        <v>1185</v>
      </c>
      <c r="S46" s="3" t="s">
        <v>31</v>
      </c>
      <c r="T46" s="1" t="s">
        <v>49</v>
      </c>
      <c r="U46" s="16" t="s">
        <v>304</v>
      </c>
      <c r="V46" s="3" t="s">
        <v>33</v>
      </c>
      <c r="W46" s="3" t="s">
        <v>305</v>
      </c>
      <c r="X46" s="3" t="s">
        <v>30</v>
      </c>
      <c r="Y46" s="3" t="s">
        <v>1242</v>
      </c>
      <c r="Z46" s="3">
        <v>2</v>
      </c>
      <c r="AA46" s="1">
        <v>50</v>
      </c>
      <c r="AB46" s="16" t="s">
        <v>1308</v>
      </c>
      <c r="AC46" s="3" t="s">
        <v>40</v>
      </c>
      <c r="AD46" s="3" t="s">
        <v>306</v>
      </c>
      <c r="AE46" s="3" t="s">
        <v>33</v>
      </c>
      <c r="AF46" s="3" t="s">
        <v>30</v>
      </c>
      <c r="AG46" s="3" t="s">
        <v>33</v>
      </c>
      <c r="AH46" s="1" t="s">
        <v>33</v>
      </c>
      <c r="AI46" s="3" t="s">
        <v>33</v>
      </c>
      <c r="AJ46" s="3"/>
      <c r="AK46" s="3" t="s">
        <v>33</v>
      </c>
      <c r="AL46" s="3" t="s">
        <v>33</v>
      </c>
      <c r="AM46" s="3" t="s">
        <v>1035</v>
      </c>
      <c r="AN46" s="3" t="s">
        <v>33</v>
      </c>
      <c r="AO46" s="3" t="s">
        <v>1041</v>
      </c>
      <c r="AP46" s="3"/>
    </row>
    <row r="47" spans="1:42" ht="64" x14ac:dyDescent="0.2">
      <c r="A47" s="23">
        <v>46</v>
      </c>
      <c r="B47" s="3" t="s">
        <v>307</v>
      </c>
      <c r="C47" s="3" t="s">
        <v>308</v>
      </c>
      <c r="D47" s="24" t="s">
        <v>309</v>
      </c>
      <c r="E47" s="3" t="s">
        <v>181</v>
      </c>
      <c r="F47" s="1">
        <v>2021</v>
      </c>
      <c r="G47" s="16" t="s">
        <v>147</v>
      </c>
      <c r="H47" s="3" t="s">
        <v>30</v>
      </c>
      <c r="I47" s="3"/>
      <c r="J47" s="3">
        <v>50</v>
      </c>
      <c r="K47" s="3" t="s">
        <v>31</v>
      </c>
      <c r="L47" s="3" t="s">
        <v>31</v>
      </c>
      <c r="M47" s="3">
        <v>10</v>
      </c>
      <c r="N47" s="3" t="s">
        <v>1093</v>
      </c>
      <c r="O47" s="3" t="s">
        <v>1154</v>
      </c>
      <c r="P47" s="3" t="s">
        <v>30</v>
      </c>
      <c r="Q47" s="3">
        <v>12</v>
      </c>
      <c r="R47" s="3" t="s">
        <v>310</v>
      </c>
      <c r="S47" s="3" t="s">
        <v>31</v>
      </c>
      <c r="T47" s="1" t="s">
        <v>49</v>
      </c>
      <c r="U47" s="16" t="s">
        <v>1219</v>
      </c>
      <c r="V47" s="3" t="s">
        <v>30</v>
      </c>
      <c r="W47" s="3" t="s">
        <v>230</v>
      </c>
      <c r="X47" s="3" t="s">
        <v>311</v>
      </c>
      <c r="Y47" s="3" t="s">
        <v>312</v>
      </c>
      <c r="Z47" s="3" t="s">
        <v>31</v>
      </c>
      <c r="AA47" s="1" t="s">
        <v>31</v>
      </c>
      <c r="AB47" s="16" t="s">
        <v>1309</v>
      </c>
      <c r="AC47" s="3" t="s">
        <v>40</v>
      </c>
      <c r="AD47" s="3" t="s">
        <v>1352</v>
      </c>
      <c r="AE47" s="3" t="s">
        <v>30</v>
      </c>
      <c r="AF47" s="3" t="s">
        <v>30</v>
      </c>
      <c r="AG47" s="3" t="s">
        <v>33</v>
      </c>
      <c r="AH47" s="1" t="s">
        <v>33</v>
      </c>
      <c r="AI47" s="3" t="s">
        <v>33</v>
      </c>
      <c r="AJ47" s="3"/>
      <c r="AK47" s="3" t="s">
        <v>33</v>
      </c>
      <c r="AL47" s="3" t="s">
        <v>33</v>
      </c>
      <c r="AM47" s="3" t="s">
        <v>1036</v>
      </c>
      <c r="AN47" s="3" t="s">
        <v>33</v>
      </c>
      <c r="AO47" s="3" t="s">
        <v>64</v>
      </c>
      <c r="AP47" s="3"/>
    </row>
    <row r="48" spans="1:42" ht="48" x14ac:dyDescent="0.2">
      <c r="A48" s="23">
        <v>20</v>
      </c>
      <c r="B48" s="3" t="s">
        <v>313</v>
      </c>
      <c r="C48" s="3" t="s">
        <v>314</v>
      </c>
      <c r="D48" s="24" t="s">
        <v>315</v>
      </c>
      <c r="E48" s="3" t="s">
        <v>316</v>
      </c>
      <c r="F48" s="1">
        <v>2023</v>
      </c>
      <c r="G48" s="16" t="s">
        <v>147</v>
      </c>
      <c r="H48" s="3" t="s">
        <v>30</v>
      </c>
      <c r="I48" s="3"/>
      <c r="J48" s="3">
        <v>30</v>
      </c>
      <c r="K48" s="3" t="s">
        <v>31</v>
      </c>
      <c r="L48" s="3" t="s">
        <v>31</v>
      </c>
      <c r="M48" s="3">
        <v>10</v>
      </c>
      <c r="N48" s="3" t="s">
        <v>31</v>
      </c>
      <c r="O48" s="3" t="s">
        <v>31</v>
      </c>
      <c r="P48" s="3" t="s">
        <v>31</v>
      </c>
      <c r="Q48" s="3">
        <v>12</v>
      </c>
      <c r="R48" s="3" t="s">
        <v>1186</v>
      </c>
      <c r="S48" s="3" t="s">
        <v>31</v>
      </c>
      <c r="T48" s="1" t="s">
        <v>49</v>
      </c>
      <c r="U48" s="16" t="s">
        <v>317</v>
      </c>
      <c r="V48" s="3" t="s">
        <v>33</v>
      </c>
      <c r="W48" s="3" t="s">
        <v>31</v>
      </c>
      <c r="X48" s="3" t="s">
        <v>33</v>
      </c>
      <c r="Y48" s="3"/>
      <c r="Z48" s="3">
        <v>5</v>
      </c>
      <c r="AA48" s="1" t="s">
        <v>31</v>
      </c>
      <c r="AB48" s="16" t="s">
        <v>1310</v>
      </c>
      <c r="AC48" s="3" t="s">
        <v>318</v>
      </c>
      <c r="AD48" s="3" t="s">
        <v>37</v>
      </c>
      <c r="AE48" s="3" t="s">
        <v>33</v>
      </c>
      <c r="AF48" s="3" t="s">
        <v>30</v>
      </c>
      <c r="AG48" s="3" t="s">
        <v>30</v>
      </c>
      <c r="AH48" s="1" t="s">
        <v>30</v>
      </c>
      <c r="AI48" s="3" t="s">
        <v>33</v>
      </c>
      <c r="AJ48" s="3"/>
      <c r="AK48" s="3" t="s">
        <v>33</v>
      </c>
      <c r="AL48" s="3" t="s">
        <v>33</v>
      </c>
      <c r="AM48" s="3" t="s">
        <v>1035</v>
      </c>
      <c r="AN48" s="3" t="s">
        <v>33</v>
      </c>
      <c r="AO48" s="3" t="s">
        <v>64</v>
      </c>
      <c r="AP48" s="3"/>
    </row>
    <row r="49" spans="1:42" ht="64" x14ac:dyDescent="0.2">
      <c r="A49" s="23">
        <v>97</v>
      </c>
      <c r="B49" s="3" t="s">
        <v>319</v>
      </c>
      <c r="C49" s="3" t="s">
        <v>320</v>
      </c>
      <c r="D49" s="3" t="s">
        <v>321</v>
      </c>
      <c r="E49" s="3" t="s">
        <v>85</v>
      </c>
      <c r="F49" s="1">
        <v>2019</v>
      </c>
      <c r="G49" s="16" t="s">
        <v>147</v>
      </c>
      <c r="H49" s="3" t="s">
        <v>30</v>
      </c>
      <c r="I49" s="3"/>
      <c r="J49" s="3">
        <v>50</v>
      </c>
      <c r="K49" s="3" t="s">
        <v>31</v>
      </c>
      <c r="L49" s="3" t="s">
        <v>322</v>
      </c>
      <c r="M49" s="3">
        <v>10</v>
      </c>
      <c r="N49" s="3" t="s">
        <v>31</v>
      </c>
      <c r="O49" s="3" t="s">
        <v>142</v>
      </c>
      <c r="P49" s="3" t="s">
        <v>30</v>
      </c>
      <c r="Q49" s="3">
        <v>12</v>
      </c>
      <c r="R49" s="3" t="s">
        <v>1139</v>
      </c>
      <c r="S49" s="3" t="s">
        <v>31</v>
      </c>
      <c r="T49" s="1" t="s">
        <v>49</v>
      </c>
      <c r="U49" s="16" t="s">
        <v>323</v>
      </c>
      <c r="V49" s="3" t="s">
        <v>30</v>
      </c>
      <c r="W49" s="3" t="s">
        <v>230</v>
      </c>
      <c r="X49" s="3" t="s">
        <v>30</v>
      </c>
      <c r="Y49" s="3"/>
      <c r="Z49" s="3">
        <v>9</v>
      </c>
      <c r="AA49" s="1">
        <v>50</v>
      </c>
      <c r="AB49" s="16" t="s">
        <v>1306</v>
      </c>
      <c r="AC49" s="3" t="s">
        <v>324</v>
      </c>
      <c r="AD49" s="3" t="s">
        <v>325</v>
      </c>
      <c r="AE49" s="3" t="s">
        <v>33</v>
      </c>
      <c r="AF49" s="3" t="s">
        <v>30</v>
      </c>
      <c r="AG49" s="3" t="s">
        <v>30</v>
      </c>
      <c r="AH49" s="1" t="s">
        <v>33</v>
      </c>
      <c r="AI49" s="3" t="s">
        <v>33</v>
      </c>
      <c r="AJ49" s="3"/>
      <c r="AK49" s="3" t="s">
        <v>33</v>
      </c>
      <c r="AL49" s="3" t="s">
        <v>33</v>
      </c>
      <c r="AM49" s="3" t="s">
        <v>1035</v>
      </c>
      <c r="AN49" s="3" t="s">
        <v>33</v>
      </c>
      <c r="AO49" s="3" t="s">
        <v>64</v>
      </c>
      <c r="AP49" s="3"/>
    </row>
    <row r="50" spans="1:42" ht="32" x14ac:dyDescent="0.2">
      <c r="A50" s="51">
        <v>110</v>
      </c>
      <c r="B50" s="46" t="s">
        <v>326</v>
      </c>
      <c r="C50" s="46" t="s">
        <v>327</v>
      </c>
      <c r="D50" s="46" t="s">
        <v>328</v>
      </c>
      <c r="E50" s="46" t="s">
        <v>168</v>
      </c>
      <c r="F50" s="49">
        <v>2023</v>
      </c>
      <c r="G50" s="16" t="s">
        <v>147</v>
      </c>
      <c r="H50" s="3" t="s">
        <v>30</v>
      </c>
      <c r="I50" s="3"/>
      <c r="J50" s="3">
        <v>32</v>
      </c>
      <c r="K50" s="3" t="s">
        <v>31</v>
      </c>
      <c r="L50" s="3" t="s">
        <v>31</v>
      </c>
      <c r="M50" s="3">
        <v>10</v>
      </c>
      <c r="N50" s="3" t="s">
        <v>31</v>
      </c>
      <c r="O50" s="3" t="s">
        <v>1154</v>
      </c>
      <c r="P50" s="3" t="s">
        <v>30</v>
      </c>
      <c r="Q50" s="3">
        <v>4</v>
      </c>
      <c r="R50" s="3" t="s">
        <v>329</v>
      </c>
      <c r="S50" s="3"/>
      <c r="T50" s="1" t="s">
        <v>49</v>
      </c>
      <c r="U50" s="50" t="s">
        <v>330</v>
      </c>
      <c r="V50" s="46" t="s">
        <v>33</v>
      </c>
      <c r="W50" s="51" t="s">
        <v>31</v>
      </c>
      <c r="X50" s="51" t="s">
        <v>33</v>
      </c>
      <c r="Y50" s="51"/>
      <c r="Z50" s="46">
        <v>12</v>
      </c>
      <c r="AA50" s="49">
        <v>50</v>
      </c>
      <c r="AB50" s="50" t="s">
        <v>39</v>
      </c>
      <c r="AC50" s="46" t="s">
        <v>331</v>
      </c>
      <c r="AD50" s="46" t="s">
        <v>1358</v>
      </c>
      <c r="AE50" s="46" t="s">
        <v>30</v>
      </c>
      <c r="AF50" s="46" t="s">
        <v>33</v>
      </c>
      <c r="AG50" s="46" t="s">
        <v>30</v>
      </c>
      <c r="AH50" s="49" t="s">
        <v>332</v>
      </c>
      <c r="AI50" s="46" t="s">
        <v>33</v>
      </c>
      <c r="AJ50" s="51"/>
      <c r="AK50" s="46" t="s">
        <v>33</v>
      </c>
      <c r="AL50" s="46" t="s">
        <v>30</v>
      </c>
      <c r="AM50" s="46"/>
      <c r="AN50" s="46" t="s">
        <v>30</v>
      </c>
      <c r="AO50" s="46"/>
      <c r="AP50" s="3"/>
    </row>
    <row r="51" spans="1:42" ht="64" x14ac:dyDescent="0.2">
      <c r="A51" s="51"/>
      <c r="B51" s="46"/>
      <c r="C51" s="46"/>
      <c r="D51" s="46"/>
      <c r="E51" s="46"/>
      <c r="F51" s="49"/>
      <c r="G51" s="16" t="s">
        <v>333</v>
      </c>
      <c r="H51" s="3" t="s">
        <v>30</v>
      </c>
      <c r="I51" s="24" t="s">
        <v>334</v>
      </c>
      <c r="J51" s="3">
        <v>32</v>
      </c>
      <c r="K51" s="3">
        <v>2</v>
      </c>
      <c r="L51" s="3" t="s">
        <v>119</v>
      </c>
      <c r="M51" s="3">
        <v>18</v>
      </c>
      <c r="N51" s="3" t="s">
        <v>1094</v>
      </c>
      <c r="O51" s="3" t="s">
        <v>1156</v>
      </c>
      <c r="P51" s="3" t="s">
        <v>33</v>
      </c>
      <c r="Q51" s="3">
        <v>5</v>
      </c>
      <c r="R51" s="3" t="s">
        <v>335</v>
      </c>
      <c r="S51" s="3" t="s">
        <v>31</v>
      </c>
      <c r="T51" s="1" t="s">
        <v>31</v>
      </c>
      <c r="U51" s="50"/>
      <c r="V51" s="46"/>
      <c r="W51" s="51"/>
      <c r="X51" s="51"/>
      <c r="Y51" s="51"/>
      <c r="Z51" s="46"/>
      <c r="AA51" s="49"/>
      <c r="AB51" s="50"/>
      <c r="AC51" s="46"/>
      <c r="AD51" s="46"/>
      <c r="AE51" s="46"/>
      <c r="AF51" s="46"/>
      <c r="AG51" s="46"/>
      <c r="AH51" s="49"/>
      <c r="AI51" s="46"/>
      <c r="AJ51" s="51"/>
      <c r="AK51" s="46"/>
      <c r="AL51" s="46"/>
      <c r="AM51" s="46"/>
      <c r="AN51" s="46"/>
      <c r="AO51" s="46"/>
      <c r="AP51" s="3"/>
    </row>
    <row r="52" spans="1:42" ht="128" x14ac:dyDescent="0.2">
      <c r="A52" s="51">
        <v>11</v>
      </c>
      <c r="B52" s="46" t="s">
        <v>336</v>
      </c>
      <c r="C52" s="46" t="s">
        <v>337</v>
      </c>
      <c r="D52" s="53" t="s">
        <v>338</v>
      </c>
      <c r="E52" s="46" t="s">
        <v>56</v>
      </c>
      <c r="F52" s="49">
        <v>2020</v>
      </c>
      <c r="G52" s="50" t="s">
        <v>176</v>
      </c>
      <c r="H52" s="46" t="s">
        <v>30</v>
      </c>
      <c r="I52" s="46"/>
      <c r="J52" s="46" t="s">
        <v>339</v>
      </c>
      <c r="K52" s="46" t="s">
        <v>340</v>
      </c>
      <c r="L52" s="46" t="s">
        <v>31</v>
      </c>
      <c r="M52" s="46">
        <v>9</v>
      </c>
      <c r="N52" s="46" t="s">
        <v>31</v>
      </c>
      <c r="O52" s="46" t="s">
        <v>31</v>
      </c>
      <c r="P52" s="46" t="s">
        <v>31</v>
      </c>
      <c r="Q52" s="3">
        <v>5</v>
      </c>
      <c r="R52" s="3" t="s">
        <v>341</v>
      </c>
      <c r="S52" s="46" t="s">
        <v>31</v>
      </c>
      <c r="T52" s="49" t="s">
        <v>31</v>
      </c>
      <c r="U52" s="50" t="s">
        <v>342</v>
      </c>
      <c r="V52" s="46" t="s">
        <v>33</v>
      </c>
      <c r="W52" s="46" t="s">
        <v>343</v>
      </c>
      <c r="X52" s="46" t="s">
        <v>33</v>
      </c>
      <c r="Y52" s="51"/>
      <c r="Z52" s="46" t="s">
        <v>344</v>
      </c>
      <c r="AA52" s="49" t="s">
        <v>31</v>
      </c>
      <c r="AB52" s="50" t="s">
        <v>1303</v>
      </c>
      <c r="AC52" s="46" t="s">
        <v>345</v>
      </c>
      <c r="AD52" s="3" t="s">
        <v>1359</v>
      </c>
      <c r="AE52" s="46" t="s">
        <v>33</v>
      </c>
      <c r="AF52" s="46" t="s">
        <v>346</v>
      </c>
      <c r="AG52" s="46" t="s">
        <v>33</v>
      </c>
      <c r="AH52" s="49" t="s">
        <v>33</v>
      </c>
      <c r="AI52" s="46" t="s">
        <v>33</v>
      </c>
      <c r="AJ52" s="51"/>
      <c r="AK52" s="46" t="s">
        <v>33</v>
      </c>
      <c r="AL52" s="46" t="s">
        <v>33</v>
      </c>
      <c r="AM52" s="46" t="s">
        <v>1036</v>
      </c>
      <c r="AN52" s="46" t="s">
        <v>33</v>
      </c>
      <c r="AO52" s="46" t="s">
        <v>64</v>
      </c>
      <c r="AP52" s="3"/>
    </row>
    <row r="53" spans="1:42" ht="16" x14ac:dyDescent="0.2">
      <c r="A53" s="51"/>
      <c r="B53" s="46"/>
      <c r="C53" s="46"/>
      <c r="D53" s="53"/>
      <c r="E53" s="46"/>
      <c r="F53" s="49"/>
      <c r="G53" s="50"/>
      <c r="H53" s="46"/>
      <c r="I53" s="46"/>
      <c r="J53" s="46"/>
      <c r="K53" s="46"/>
      <c r="L53" s="46"/>
      <c r="M53" s="46"/>
      <c r="N53" s="46"/>
      <c r="O53" s="46"/>
      <c r="P53" s="46"/>
      <c r="Q53" s="3">
        <v>12</v>
      </c>
      <c r="R53" s="3" t="s">
        <v>31</v>
      </c>
      <c r="S53" s="46"/>
      <c r="T53" s="49"/>
      <c r="U53" s="50"/>
      <c r="V53" s="46"/>
      <c r="W53" s="46"/>
      <c r="X53" s="46"/>
      <c r="Y53" s="51"/>
      <c r="Z53" s="46"/>
      <c r="AA53" s="49"/>
      <c r="AB53" s="50"/>
      <c r="AC53" s="46"/>
      <c r="AD53" s="3" t="s">
        <v>349</v>
      </c>
      <c r="AE53" s="46"/>
      <c r="AF53" s="46"/>
      <c r="AG53" s="46"/>
      <c r="AH53" s="49"/>
      <c r="AI53" s="46"/>
      <c r="AJ53" s="51"/>
      <c r="AK53" s="46"/>
      <c r="AL53" s="46"/>
      <c r="AM53" s="46"/>
      <c r="AN53" s="46"/>
      <c r="AO53" s="46"/>
      <c r="AP53" s="3"/>
    </row>
    <row r="54" spans="1:42" ht="48" x14ac:dyDescent="0.2">
      <c r="A54" s="23">
        <v>9</v>
      </c>
      <c r="B54" s="3" t="s">
        <v>347</v>
      </c>
      <c r="C54" s="3" t="s">
        <v>337</v>
      </c>
      <c r="D54" s="24" t="s">
        <v>348</v>
      </c>
      <c r="E54" s="3" t="s">
        <v>160</v>
      </c>
      <c r="F54" s="1">
        <v>2021</v>
      </c>
      <c r="G54" s="16" t="s">
        <v>176</v>
      </c>
      <c r="H54" s="3" t="s">
        <v>30</v>
      </c>
      <c r="I54" s="3"/>
      <c r="J54" s="3">
        <v>100</v>
      </c>
      <c r="K54" s="3" t="s">
        <v>340</v>
      </c>
      <c r="L54" s="3" t="s">
        <v>31</v>
      </c>
      <c r="M54" s="3">
        <v>9</v>
      </c>
      <c r="N54" s="3" t="s">
        <v>31</v>
      </c>
      <c r="O54" s="3" t="s">
        <v>31</v>
      </c>
      <c r="P54" s="3" t="s">
        <v>31</v>
      </c>
      <c r="Q54" s="3">
        <v>5</v>
      </c>
      <c r="R54" s="3" t="s">
        <v>1187</v>
      </c>
      <c r="S54" s="3" t="s">
        <v>31</v>
      </c>
      <c r="T54" s="1" t="s">
        <v>31</v>
      </c>
      <c r="U54" s="16" t="s">
        <v>264</v>
      </c>
      <c r="V54" s="3" t="s">
        <v>33</v>
      </c>
      <c r="W54" s="3" t="s">
        <v>343</v>
      </c>
      <c r="X54" s="3" t="s">
        <v>33</v>
      </c>
      <c r="Y54" s="3"/>
      <c r="Z54" s="3">
        <v>0.24</v>
      </c>
      <c r="AA54" s="1" t="s">
        <v>31</v>
      </c>
      <c r="AB54" s="16" t="s">
        <v>231</v>
      </c>
      <c r="AC54" s="3" t="s">
        <v>40</v>
      </c>
      <c r="AD54" s="3" t="s">
        <v>349</v>
      </c>
      <c r="AE54" s="3" t="s">
        <v>33</v>
      </c>
      <c r="AF54" s="3" t="s">
        <v>30</v>
      </c>
      <c r="AG54" s="3" t="s">
        <v>30</v>
      </c>
      <c r="AH54" s="1" t="s">
        <v>33</v>
      </c>
      <c r="AI54" s="3" t="s">
        <v>33</v>
      </c>
      <c r="AJ54" s="3"/>
      <c r="AK54" s="3" t="s">
        <v>33</v>
      </c>
      <c r="AL54" s="3" t="s">
        <v>33</v>
      </c>
      <c r="AM54" s="3" t="s">
        <v>1036</v>
      </c>
      <c r="AN54" s="3" t="s">
        <v>33</v>
      </c>
      <c r="AO54" s="3" t="s">
        <v>64</v>
      </c>
      <c r="AP54" s="3"/>
    </row>
    <row r="55" spans="1:42" ht="80" x14ac:dyDescent="0.2">
      <c r="A55" s="23">
        <v>27</v>
      </c>
      <c r="B55" s="3" t="s">
        <v>350</v>
      </c>
      <c r="C55" s="3" t="s">
        <v>337</v>
      </c>
      <c r="D55" s="24" t="s">
        <v>351</v>
      </c>
      <c r="E55" s="3" t="s">
        <v>160</v>
      </c>
      <c r="F55" s="1">
        <v>2020</v>
      </c>
      <c r="G55" s="16" t="s">
        <v>352</v>
      </c>
      <c r="H55" s="3" t="s">
        <v>30</v>
      </c>
      <c r="I55" s="3"/>
      <c r="J55" s="3" t="s">
        <v>31</v>
      </c>
      <c r="K55" s="3" t="s">
        <v>340</v>
      </c>
      <c r="L55" s="3" t="s">
        <v>31</v>
      </c>
      <c r="M55" s="3" t="s">
        <v>31</v>
      </c>
      <c r="N55" s="3" t="s">
        <v>31</v>
      </c>
      <c r="O55" s="3" t="s">
        <v>31</v>
      </c>
      <c r="P55" s="3" t="s">
        <v>31</v>
      </c>
      <c r="Q55" s="3" t="s">
        <v>1159</v>
      </c>
      <c r="R55" s="3" t="s">
        <v>353</v>
      </c>
      <c r="S55" s="3" t="s">
        <v>31</v>
      </c>
      <c r="T55" s="1" t="s">
        <v>31</v>
      </c>
      <c r="U55" s="16" t="s">
        <v>354</v>
      </c>
      <c r="V55" s="3" t="s">
        <v>33</v>
      </c>
      <c r="W55" s="3" t="s">
        <v>355</v>
      </c>
      <c r="X55" s="3" t="s">
        <v>33</v>
      </c>
      <c r="Y55" s="3"/>
      <c r="Z55" s="3" t="s">
        <v>356</v>
      </c>
      <c r="AA55" s="1" t="s">
        <v>31</v>
      </c>
      <c r="AB55" s="16" t="s">
        <v>1311</v>
      </c>
      <c r="AC55" s="3" t="s">
        <v>40</v>
      </c>
      <c r="AD55" s="3" t="s">
        <v>112</v>
      </c>
      <c r="AE55" s="3" t="s">
        <v>30</v>
      </c>
      <c r="AF55" s="3" t="s">
        <v>30</v>
      </c>
      <c r="AG55" s="3" t="s">
        <v>33</v>
      </c>
      <c r="AH55" s="1" t="s">
        <v>33</v>
      </c>
      <c r="AI55" s="3" t="s">
        <v>33</v>
      </c>
      <c r="AJ55" s="3"/>
      <c r="AK55" s="3" t="s">
        <v>33</v>
      </c>
      <c r="AL55" s="3" t="s">
        <v>33</v>
      </c>
      <c r="AM55" s="3" t="s">
        <v>1036</v>
      </c>
      <c r="AN55" s="3" t="s">
        <v>33</v>
      </c>
      <c r="AO55" s="3" t="s">
        <v>64</v>
      </c>
      <c r="AP55" s="3"/>
    </row>
    <row r="56" spans="1:42" ht="64" x14ac:dyDescent="0.2">
      <c r="A56" s="23">
        <v>31</v>
      </c>
      <c r="B56" s="3" t="s">
        <v>357</v>
      </c>
      <c r="C56" s="3" t="s">
        <v>358</v>
      </c>
      <c r="D56" s="24" t="s">
        <v>359</v>
      </c>
      <c r="E56" s="3" t="s">
        <v>181</v>
      </c>
      <c r="F56" s="1">
        <v>2023</v>
      </c>
      <c r="G56" s="16" t="s">
        <v>176</v>
      </c>
      <c r="H56" s="3" t="s">
        <v>30</v>
      </c>
      <c r="I56" s="3"/>
      <c r="J56" s="3">
        <v>100</v>
      </c>
      <c r="K56" s="3" t="s">
        <v>31</v>
      </c>
      <c r="L56" s="3" t="s">
        <v>31</v>
      </c>
      <c r="M56" s="3">
        <v>9</v>
      </c>
      <c r="N56" s="3" t="s">
        <v>31</v>
      </c>
      <c r="O56" s="3" t="s">
        <v>1154</v>
      </c>
      <c r="P56" s="3" t="s">
        <v>33</v>
      </c>
      <c r="Q56" s="3">
        <v>12</v>
      </c>
      <c r="R56" s="3" t="s">
        <v>360</v>
      </c>
      <c r="S56" s="3" t="s">
        <v>31</v>
      </c>
      <c r="T56" s="1" t="s">
        <v>80</v>
      </c>
      <c r="U56" s="16" t="s">
        <v>264</v>
      </c>
      <c r="V56" s="3" t="s">
        <v>33</v>
      </c>
      <c r="W56" s="3" t="s">
        <v>31</v>
      </c>
      <c r="X56" s="3" t="s">
        <v>33</v>
      </c>
      <c r="Y56" s="3"/>
      <c r="Z56" s="3">
        <v>5</v>
      </c>
      <c r="AA56" s="1">
        <v>20</v>
      </c>
      <c r="AB56" s="16" t="s">
        <v>1312</v>
      </c>
      <c r="AC56" s="3" t="s">
        <v>40</v>
      </c>
      <c r="AD56" s="3" t="s">
        <v>361</v>
      </c>
      <c r="AE56" s="3" t="s">
        <v>33</v>
      </c>
      <c r="AF56" s="3" t="s">
        <v>30</v>
      </c>
      <c r="AG56" s="3" t="s">
        <v>30</v>
      </c>
      <c r="AH56" s="1" t="s">
        <v>33</v>
      </c>
      <c r="AI56" s="3" t="s">
        <v>33</v>
      </c>
      <c r="AJ56" s="3"/>
      <c r="AK56" s="3" t="s">
        <v>33</v>
      </c>
      <c r="AL56" s="3" t="s">
        <v>30</v>
      </c>
      <c r="AM56" s="3"/>
      <c r="AN56" s="3" t="s">
        <v>33</v>
      </c>
      <c r="AO56" s="3" t="s">
        <v>1042</v>
      </c>
      <c r="AP56" s="3"/>
    </row>
    <row r="57" spans="1:42" ht="64" x14ac:dyDescent="0.2">
      <c r="A57" s="23">
        <v>90</v>
      </c>
      <c r="B57" s="3" t="s">
        <v>362</v>
      </c>
      <c r="C57" s="3" t="s">
        <v>363</v>
      </c>
      <c r="D57" s="24" t="s">
        <v>364</v>
      </c>
      <c r="E57" s="3" t="s">
        <v>237</v>
      </c>
      <c r="F57" s="1">
        <v>2020</v>
      </c>
      <c r="G57" s="16" t="s">
        <v>176</v>
      </c>
      <c r="H57" s="3" t="s">
        <v>30</v>
      </c>
      <c r="I57" s="3"/>
      <c r="J57" s="3">
        <v>10</v>
      </c>
      <c r="K57" s="3">
        <v>16</v>
      </c>
      <c r="L57" s="3" t="s">
        <v>31</v>
      </c>
      <c r="M57" s="3">
        <v>7</v>
      </c>
      <c r="N57" s="3" t="s">
        <v>31</v>
      </c>
      <c r="O57" s="3" t="s">
        <v>31</v>
      </c>
      <c r="P57" s="3" t="s">
        <v>31</v>
      </c>
      <c r="Q57" s="3">
        <v>9</v>
      </c>
      <c r="R57" s="3" t="s">
        <v>365</v>
      </c>
      <c r="S57" s="3" t="s">
        <v>31</v>
      </c>
      <c r="T57" s="1" t="s">
        <v>31</v>
      </c>
      <c r="U57" s="16" t="s">
        <v>366</v>
      </c>
      <c r="V57" s="3" t="s">
        <v>33</v>
      </c>
      <c r="W57" s="3" t="s">
        <v>31</v>
      </c>
      <c r="X57" s="3" t="s">
        <v>33</v>
      </c>
      <c r="Y57" s="3"/>
      <c r="Z57" s="3">
        <v>0.5</v>
      </c>
      <c r="AA57" s="1">
        <v>50</v>
      </c>
      <c r="AB57" s="16" t="s">
        <v>367</v>
      </c>
      <c r="AC57" s="3" t="s">
        <v>102</v>
      </c>
      <c r="AD57" s="3" t="s">
        <v>62</v>
      </c>
      <c r="AE57" s="3" t="s">
        <v>33</v>
      </c>
      <c r="AF57" s="3" t="s">
        <v>30</v>
      </c>
      <c r="AG57" s="3" t="s">
        <v>30</v>
      </c>
      <c r="AH57" s="1" t="s">
        <v>30</v>
      </c>
      <c r="AI57" s="3" t="s">
        <v>33</v>
      </c>
      <c r="AJ57" s="3"/>
      <c r="AK57" s="3" t="s">
        <v>33</v>
      </c>
      <c r="AL57" s="3" t="s">
        <v>33</v>
      </c>
      <c r="AM57" s="3" t="s">
        <v>1035</v>
      </c>
      <c r="AN57" s="3" t="s">
        <v>33</v>
      </c>
      <c r="AO57" s="3" t="s">
        <v>64</v>
      </c>
      <c r="AP57" s="3"/>
    </row>
    <row r="58" spans="1:42" ht="64" x14ac:dyDescent="0.2">
      <c r="A58" s="23">
        <v>36</v>
      </c>
      <c r="B58" s="3" t="s">
        <v>368</v>
      </c>
      <c r="C58" s="3" t="s">
        <v>369</v>
      </c>
      <c r="D58" s="24" t="s">
        <v>370</v>
      </c>
      <c r="E58" s="3" t="s">
        <v>290</v>
      </c>
      <c r="F58" s="1">
        <v>2016</v>
      </c>
      <c r="G58" s="16" t="s">
        <v>176</v>
      </c>
      <c r="H58" s="3" t="s">
        <v>30</v>
      </c>
      <c r="I58" s="3"/>
      <c r="J58" s="3">
        <v>100</v>
      </c>
      <c r="K58" s="3" t="s">
        <v>31</v>
      </c>
      <c r="L58" s="3" t="s">
        <v>31</v>
      </c>
      <c r="M58" s="3" t="s">
        <v>31</v>
      </c>
      <c r="N58" s="3" t="s">
        <v>31</v>
      </c>
      <c r="O58" s="3" t="s">
        <v>31</v>
      </c>
      <c r="P58" s="3" t="s">
        <v>31</v>
      </c>
      <c r="Q58" s="4">
        <v>13</v>
      </c>
      <c r="R58" s="3" t="s">
        <v>1188</v>
      </c>
      <c r="S58" s="3" t="s">
        <v>31</v>
      </c>
      <c r="T58" s="1" t="s">
        <v>31</v>
      </c>
      <c r="U58" s="16" t="s">
        <v>371</v>
      </c>
      <c r="V58" s="3" t="s">
        <v>33</v>
      </c>
      <c r="W58" s="3" t="s">
        <v>31</v>
      </c>
      <c r="X58" s="3" t="s">
        <v>30</v>
      </c>
      <c r="Y58" s="3" t="s">
        <v>1243</v>
      </c>
      <c r="Z58" s="3">
        <v>1</v>
      </c>
      <c r="AA58" s="1">
        <v>50</v>
      </c>
      <c r="AB58" s="16" t="s">
        <v>74</v>
      </c>
      <c r="AC58" s="3" t="s">
        <v>102</v>
      </c>
      <c r="AD58" s="3" t="s">
        <v>1360</v>
      </c>
      <c r="AE58" s="3" t="s">
        <v>1393</v>
      </c>
      <c r="AF58" s="3" t="s">
        <v>30</v>
      </c>
      <c r="AG58" s="3" t="s">
        <v>30</v>
      </c>
      <c r="AH58" s="1" t="s">
        <v>33</v>
      </c>
      <c r="AI58" s="3" t="s">
        <v>33</v>
      </c>
      <c r="AJ58" s="3"/>
      <c r="AK58" s="3" t="s">
        <v>33</v>
      </c>
      <c r="AL58" s="3" t="s">
        <v>33</v>
      </c>
      <c r="AM58" s="3" t="s">
        <v>1037</v>
      </c>
      <c r="AN58" s="3" t="s">
        <v>33</v>
      </c>
      <c r="AO58" s="3" t="s">
        <v>64</v>
      </c>
      <c r="AP58" s="3"/>
    </row>
    <row r="59" spans="1:42" ht="144" customHeight="1" x14ac:dyDescent="0.2">
      <c r="A59" s="51">
        <v>132</v>
      </c>
      <c r="B59" s="46" t="s">
        <v>372</v>
      </c>
      <c r="C59" s="46" t="s">
        <v>373</v>
      </c>
      <c r="D59" s="46" t="s">
        <v>374</v>
      </c>
      <c r="E59" s="46" t="s">
        <v>375</v>
      </c>
      <c r="F59" s="49">
        <v>2017</v>
      </c>
      <c r="G59" s="16" t="s">
        <v>176</v>
      </c>
      <c r="H59" s="3" t="s">
        <v>30</v>
      </c>
      <c r="I59" s="3"/>
      <c r="J59" s="3">
        <v>100</v>
      </c>
      <c r="K59" s="3">
        <v>16</v>
      </c>
      <c r="L59" s="3" t="s">
        <v>376</v>
      </c>
      <c r="M59" s="3">
        <v>9</v>
      </c>
      <c r="N59" s="3" t="s">
        <v>1095</v>
      </c>
      <c r="O59" s="3" t="s">
        <v>1154</v>
      </c>
      <c r="P59" s="3" t="s">
        <v>33</v>
      </c>
      <c r="Q59" s="3" t="s">
        <v>1160</v>
      </c>
      <c r="R59" s="3" t="s">
        <v>377</v>
      </c>
      <c r="S59" s="3" t="s">
        <v>31</v>
      </c>
      <c r="T59" s="1" t="s">
        <v>80</v>
      </c>
      <c r="U59" s="50" t="s">
        <v>378</v>
      </c>
      <c r="V59" s="46" t="s">
        <v>30</v>
      </c>
      <c r="W59" s="46" t="s">
        <v>286</v>
      </c>
      <c r="X59" s="46" t="s">
        <v>30</v>
      </c>
      <c r="Y59" s="46" t="s">
        <v>1244</v>
      </c>
      <c r="Z59" s="46">
        <v>10</v>
      </c>
      <c r="AA59" s="49">
        <v>50</v>
      </c>
      <c r="AB59" s="50" t="s">
        <v>39</v>
      </c>
      <c r="AC59" s="46" t="s">
        <v>102</v>
      </c>
      <c r="AD59" s="46" t="s">
        <v>379</v>
      </c>
      <c r="AE59" s="46" t="s">
        <v>30</v>
      </c>
      <c r="AF59" s="46" t="s">
        <v>30</v>
      </c>
      <c r="AG59" s="46" t="s">
        <v>33</v>
      </c>
      <c r="AH59" s="49" t="s">
        <v>33</v>
      </c>
      <c r="AI59" s="46" t="s">
        <v>30</v>
      </c>
      <c r="AJ59" s="46" t="s">
        <v>380</v>
      </c>
      <c r="AK59" s="46" t="s">
        <v>33</v>
      </c>
      <c r="AL59" s="46" t="s">
        <v>30</v>
      </c>
      <c r="AM59" s="46"/>
      <c r="AN59" s="46" t="s">
        <v>33</v>
      </c>
      <c r="AO59" s="46" t="s">
        <v>1043</v>
      </c>
      <c r="AP59" s="3"/>
    </row>
    <row r="60" spans="1:42" ht="32" x14ac:dyDescent="0.2">
      <c r="A60" s="51"/>
      <c r="B60" s="46"/>
      <c r="C60" s="46"/>
      <c r="D60" s="46"/>
      <c r="E60" s="46"/>
      <c r="F60" s="49"/>
      <c r="G60" s="16" t="s">
        <v>333</v>
      </c>
      <c r="H60" s="3" t="s">
        <v>33</v>
      </c>
      <c r="I60" s="3"/>
      <c r="J60" s="3">
        <v>32</v>
      </c>
      <c r="K60" s="3">
        <v>2</v>
      </c>
      <c r="L60" s="3" t="s">
        <v>119</v>
      </c>
      <c r="M60" s="3">
        <v>8</v>
      </c>
      <c r="N60" s="3" t="s">
        <v>1095</v>
      </c>
      <c r="O60" s="3" t="s">
        <v>1154</v>
      </c>
      <c r="P60" s="3" t="s">
        <v>33</v>
      </c>
      <c r="Q60" s="3">
        <v>5</v>
      </c>
      <c r="R60" s="3" t="s">
        <v>381</v>
      </c>
      <c r="S60" s="3" t="s">
        <v>31</v>
      </c>
      <c r="T60" s="1" t="s">
        <v>122</v>
      </c>
      <c r="U60" s="50"/>
      <c r="V60" s="46"/>
      <c r="W60" s="46"/>
      <c r="X60" s="46"/>
      <c r="Y60" s="46"/>
      <c r="Z60" s="46"/>
      <c r="AA60" s="49"/>
      <c r="AB60" s="50"/>
      <c r="AC60" s="46"/>
      <c r="AD60" s="46"/>
      <c r="AE60" s="46"/>
      <c r="AF60" s="46"/>
      <c r="AG60" s="46"/>
      <c r="AH60" s="49"/>
      <c r="AI60" s="46"/>
      <c r="AJ60" s="46"/>
      <c r="AK60" s="46"/>
      <c r="AL60" s="46"/>
      <c r="AM60" s="46"/>
      <c r="AN60" s="46"/>
      <c r="AO60" s="46"/>
      <c r="AP60" s="3"/>
    </row>
    <row r="61" spans="1:42" ht="80" x14ac:dyDescent="0.2">
      <c r="A61" s="51"/>
      <c r="B61" s="46"/>
      <c r="C61" s="46"/>
      <c r="D61" s="46"/>
      <c r="E61" s="46"/>
      <c r="F61" s="49"/>
      <c r="G61" s="16" t="s">
        <v>333</v>
      </c>
      <c r="H61" s="3" t="s">
        <v>33</v>
      </c>
      <c r="I61" s="3"/>
      <c r="J61" s="3">
        <v>20</v>
      </c>
      <c r="K61" s="3">
        <v>6</v>
      </c>
      <c r="L61" s="3" t="s">
        <v>382</v>
      </c>
      <c r="M61" s="3">
        <v>17</v>
      </c>
      <c r="N61" s="3" t="s">
        <v>1095</v>
      </c>
      <c r="O61" s="3" t="s">
        <v>1154</v>
      </c>
      <c r="P61" s="3" t="s">
        <v>33</v>
      </c>
      <c r="Q61" s="3">
        <v>7</v>
      </c>
      <c r="R61" s="3" t="s">
        <v>383</v>
      </c>
      <c r="S61" s="3" t="s">
        <v>31</v>
      </c>
      <c r="T61" s="1" t="s">
        <v>122</v>
      </c>
      <c r="U61" s="50"/>
      <c r="V61" s="46"/>
      <c r="W61" s="46"/>
      <c r="X61" s="46"/>
      <c r="Y61" s="46"/>
      <c r="Z61" s="46"/>
      <c r="AA61" s="49"/>
      <c r="AB61" s="50"/>
      <c r="AC61" s="46"/>
      <c r="AD61" s="46"/>
      <c r="AE61" s="46"/>
      <c r="AF61" s="46"/>
      <c r="AG61" s="46"/>
      <c r="AH61" s="49"/>
      <c r="AI61" s="46"/>
      <c r="AJ61" s="46"/>
      <c r="AK61" s="46"/>
      <c r="AL61" s="46"/>
      <c r="AM61" s="46"/>
      <c r="AN61" s="46"/>
      <c r="AO61" s="46"/>
      <c r="AP61" s="3"/>
    </row>
    <row r="62" spans="1:42" ht="64" x14ac:dyDescent="0.2">
      <c r="A62" s="23">
        <v>101</v>
      </c>
      <c r="B62" s="3" t="s">
        <v>384</v>
      </c>
      <c r="C62" s="3" t="s">
        <v>150</v>
      </c>
      <c r="D62" s="3" t="s">
        <v>385</v>
      </c>
      <c r="E62" s="3" t="s">
        <v>107</v>
      </c>
      <c r="F62" s="1">
        <v>2021</v>
      </c>
      <c r="G62" s="16" t="s">
        <v>176</v>
      </c>
      <c r="H62" s="3" t="s">
        <v>30</v>
      </c>
      <c r="I62" s="3"/>
      <c r="J62" s="3" t="s">
        <v>31</v>
      </c>
      <c r="K62" s="3" t="s">
        <v>31</v>
      </c>
      <c r="L62" s="3" t="s">
        <v>386</v>
      </c>
      <c r="M62" s="3">
        <v>9</v>
      </c>
      <c r="N62" s="3" t="s">
        <v>1096</v>
      </c>
      <c r="O62" s="3" t="s">
        <v>1154</v>
      </c>
      <c r="P62" s="3" t="s">
        <v>31</v>
      </c>
      <c r="Q62" s="3">
        <v>4</v>
      </c>
      <c r="R62" s="3" t="s">
        <v>387</v>
      </c>
      <c r="S62" s="3" t="s">
        <v>31</v>
      </c>
      <c r="T62" s="1" t="s">
        <v>31</v>
      </c>
      <c r="U62" s="16" t="s">
        <v>366</v>
      </c>
      <c r="V62" s="3" t="s">
        <v>33</v>
      </c>
      <c r="W62" s="3" t="s">
        <v>388</v>
      </c>
      <c r="X62" s="3" t="s">
        <v>33</v>
      </c>
      <c r="Y62" s="3"/>
      <c r="Z62" s="3" t="s">
        <v>31</v>
      </c>
      <c r="AA62" s="1" t="s">
        <v>31</v>
      </c>
      <c r="AB62" s="16" t="s">
        <v>74</v>
      </c>
      <c r="AC62" s="3" t="s">
        <v>389</v>
      </c>
      <c r="AD62" s="3" t="s">
        <v>62</v>
      </c>
      <c r="AE62" s="3" t="s">
        <v>33</v>
      </c>
      <c r="AF62" s="3" t="s">
        <v>30</v>
      </c>
      <c r="AG62" s="3" t="s">
        <v>33</v>
      </c>
      <c r="AH62" s="1" t="s">
        <v>390</v>
      </c>
      <c r="AI62" s="3" t="s">
        <v>33</v>
      </c>
      <c r="AJ62" s="3"/>
      <c r="AK62" s="3" t="s">
        <v>33</v>
      </c>
      <c r="AL62" s="3" t="s">
        <v>33</v>
      </c>
      <c r="AM62" s="3" t="s">
        <v>1036</v>
      </c>
      <c r="AN62" s="3" t="s">
        <v>33</v>
      </c>
      <c r="AO62" s="3" t="s">
        <v>64</v>
      </c>
      <c r="AP62" s="3"/>
    </row>
    <row r="63" spans="1:42" ht="80" x14ac:dyDescent="0.2">
      <c r="A63" s="23">
        <v>70</v>
      </c>
      <c r="B63" s="3" t="s">
        <v>391</v>
      </c>
      <c r="C63" s="3" t="s">
        <v>392</v>
      </c>
      <c r="D63" s="3" t="s">
        <v>393</v>
      </c>
      <c r="E63" s="3" t="s">
        <v>160</v>
      </c>
      <c r="F63" s="1">
        <v>2020</v>
      </c>
      <c r="G63" s="16" t="s">
        <v>176</v>
      </c>
      <c r="H63" s="3" t="s">
        <v>30</v>
      </c>
      <c r="I63" s="3"/>
      <c r="J63" s="3">
        <v>100</v>
      </c>
      <c r="K63" s="3" t="s">
        <v>31</v>
      </c>
      <c r="L63" s="3" t="s">
        <v>31</v>
      </c>
      <c r="M63" s="3">
        <v>9</v>
      </c>
      <c r="N63" s="3" t="s">
        <v>1097</v>
      </c>
      <c r="O63" s="3" t="s">
        <v>1154</v>
      </c>
      <c r="P63" s="3" t="s">
        <v>31</v>
      </c>
      <c r="Q63" s="3">
        <v>11</v>
      </c>
      <c r="R63" s="3" t="s">
        <v>1189</v>
      </c>
      <c r="S63" s="3" t="s">
        <v>31</v>
      </c>
      <c r="T63" s="1" t="s">
        <v>31</v>
      </c>
      <c r="U63" s="16" t="s">
        <v>394</v>
      </c>
      <c r="V63" s="3" t="s">
        <v>30</v>
      </c>
      <c r="W63" s="3" t="s">
        <v>31</v>
      </c>
      <c r="X63" s="3" t="s">
        <v>30</v>
      </c>
      <c r="Y63" s="3" t="s">
        <v>1095</v>
      </c>
      <c r="Z63" s="3">
        <v>5</v>
      </c>
      <c r="AA63" s="1">
        <v>0</v>
      </c>
      <c r="AB63" s="16" t="s">
        <v>231</v>
      </c>
      <c r="AC63" s="3" t="s">
        <v>395</v>
      </c>
      <c r="AD63" s="3" t="s">
        <v>37</v>
      </c>
      <c r="AE63" s="3" t="s">
        <v>30</v>
      </c>
      <c r="AF63" s="3" t="s">
        <v>30</v>
      </c>
      <c r="AG63" s="3" t="s">
        <v>33</v>
      </c>
      <c r="AH63" s="1" t="s">
        <v>33</v>
      </c>
      <c r="AI63" s="3" t="s">
        <v>33</v>
      </c>
      <c r="AJ63" s="3"/>
      <c r="AK63" s="3" t="s">
        <v>33</v>
      </c>
      <c r="AL63" s="3" t="s">
        <v>33</v>
      </c>
      <c r="AM63" s="3" t="s">
        <v>1035</v>
      </c>
      <c r="AN63" s="3" t="s">
        <v>33</v>
      </c>
      <c r="AO63" s="3" t="s">
        <v>64</v>
      </c>
      <c r="AP63" s="3"/>
    </row>
    <row r="64" spans="1:42" ht="112" x14ac:dyDescent="0.2">
      <c r="A64" s="23">
        <v>60</v>
      </c>
      <c r="B64" s="3" t="s">
        <v>396</v>
      </c>
      <c r="C64" s="3" t="s">
        <v>397</v>
      </c>
      <c r="D64" s="24" t="s">
        <v>398</v>
      </c>
      <c r="E64" s="3" t="s">
        <v>160</v>
      </c>
      <c r="F64" s="1">
        <v>2018</v>
      </c>
      <c r="G64" s="16" t="s">
        <v>176</v>
      </c>
      <c r="H64" s="3" t="s">
        <v>30</v>
      </c>
      <c r="I64" s="3"/>
      <c r="J64" s="3" t="s">
        <v>31</v>
      </c>
      <c r="K64" s="3" t="s">
        <v>31</v>
      </c>
      <c r="L64" s="3" t="s">
        <v>31</v>
      </c>
      <c r="M64" s="3">
        <v>9</v>
      </c>
      <c r="N64" s="3" t="s">
        <v>1098</v>
      </c>
      <c r="O64" s="3" t="s">
        <v>1154</v>
      </c>
      <c r="P64" s="3" t="s">
        <v>31</v>
      </c>
      <c r="Q64" s="3">
        <v>18</v>
      </c>
      <c r="R64" s="3" t="s">
        <v>399</v>
      </c>
      <c r="S64" s="3" t="s">
        <v>31</v>
      </c>
      <c r="T64" s="1" t="s">
        <v>80</v>
      </c>
      <c r="U64" s="16" t="s">
        <v>123</v>
      </c>
      <c r="V64" s="3" t="s">
        <v>33</v>
      </c>
      <c r="W64" s="3" t="s">
        <v>31</v>
      </c>
      <c r="X64" s="3" t="s">
        <v>30</v>
      </c>
      <c r="Y64" s="3" t="s">
        <v>1245</v>
      </c>
      <c r="Z64" s="3" t="s">
        <v>31</v>
      </c>
      <c r="AA64" s="1">
        <v>50</v>
      </c>
      <c r="AB64" s="16" t="s">
        <v>1313</v>
      </c>
      <c r="AC64" s="3" t="s">
        <v>40</v>
      </c>
      <c r="AD64" s="3" t="s">
        <v>208</v>
      </c>
      <c r="AE64" s="3" t="s">
        <v>30</v>
      </c>
      <c r="AF64" s="3" t="s">
        <v>30</v>
      </c>
      <c r="AG64" s="3" t="s">
        <v>33</v>
      </c>
      <c r="AH64" s="1" t="s">
        <v>33</v>
      </c>
      <c r="AI64" s="3" t="s">
        <v>33</v>
      </c>
      <c r="AJ64" s="3"/>
      <c r="AK64" s="3" t="s">
        <v>33</v>
      </c>
      <c r="AL64" s="3" t="s">
        <v>33</v>
      </c>
      <c r="AM64" s="3" t="s">
        <v>1037</v>
      </c>
      <c r="AN64" s="3" t="s">
        <v>33</v>
      </c>
      <c r="AO64" s="3" t="s">
        <v>64</v>
      </c>
      <c r="AP64" s="3"/>
    </row>
    <row r="65" spans="1:42" ht="64" x14ac:dyDescent="0.2">
      <c r="A65" s="28">
        <v>100</v>
      </c>
      <c r="B65" s="4" t="s">
        <v>400</v>
      </c>
      <c r="C65" s="4" t="s">
        <v>401</v>
      </c>
      <c r="D65" s="4" t="s">
        <v>402</v>
      </c>
      <c r="E65" s="4" t="s">
        <v>70</v>
      </c>
      <c r="F65" s="2">
        <v>2017</v>
      </c>
      <c r="G65" s="36" t="s">
        <v>243</v>
      </c>
      <c r="H65" s="4" t="s">
        <v>30</v>
      </c>
      <c r="I65" s="4"/>
      <c r="J65" s="4">
        <v>50</v>
      </c>
      <c r="K65" s="4" t="s">
        <v>31</v>
      </c>
      <c r="L65" s="4" t="s">
        <v>403</v>
      </c>
      <c r="M65" s="4">
        <v>15</v>
      </c>
      <c r="N65" s="4" t="s">
        <v>1099</v>
      </c>
      <c r="O65" s="4" t="s">
        <v>31</v>
      </c>
      <c r="P65" s="4" t="s">
        <v>33</v>
      </c>
      <c r="Q65" s="4">
        <v>8</v>
      </c>
      <c r="R65" s="4" t="s">
        <v>404</v>
      </c>
      <c r="S65" s="4" t="s">
        <v>31</v>
      </c>
      <c r="T65" s="2" t="s">
        <v>31</v>
      </c>
      <c r="U65" s="36" t="s">
        <v>123</v>
      </c>
      <c r="V65" s="4" t="s">
        <v>33</v>
      </c>
      <c r="W65" s="4" t="s">
        <v>31</v>
      </c>
      <c r="X65" s="4" t="s">
        <v>30</v>
      </c>
      <c r="Y65" s="4" t="s">
        <v>1095</v>
      </c>
      <c r="Z65" s="4">
        <v>1</v>
      </c>
      <c r="AA65" s="2">
        <v>50</v>
      </c>
      <c r="AB65" s="36" t="s">
        <v>405</v>
      </c>
      <c r="AC65" s="4" t="s">
        <v>102</v>
      </c>
      <c r="AD65" s="4" t="s">
        <v>406</v>
      </c>
      <c r="AE65" s="4" t="s">
        <v>30</v>
      </c>
      <c r="AF65" s="4" t="s">
        <v>30</v>
      </c>
      <c r="AG65" s="4" t="s">
        <v>33</v>
      </c>
      <c r="AH65" s="2" t="s">
        <v>33</v>
      </c>
      <c r="AI65" s="4" t="s">
        <v>1400</v>
      </c>
      <c r="AJ65" s="24" t="s">
        <v>1401</v>
      </c>
      <c r="AK65" s="4" t="s">
        <v>33</v>
      </c>
      <c r="AL65" s="4" t="s">
        <v>33</v>
      </c>
      <c r="AM65" s="4" t="s">
        <v>1035</v>
      </c>
      <c r="AN65" s="4" t="s">
        <v>33</v>
      </c>
      <c r="AO65" s="4" t="s">
        <v>1042</v>
      </c>
      <c r="AP65" s="3"/>
    </row>
    <row r="66" spans="1:42" ht="160" x14ac:dyDescent="0.2">
      <c r="A66" s="23">
        <v>29</v>
      </c>
      <c r="B66" s="3" t="s">
        <v>407</v>
      </c>
      <c r="C66" s="3" t="s">
        <v>408</v>
      </c>
      <c r="D66" s="24" t="s">
        <v>409</v>
      </c>
      <c r="E66" s="3" t="s">
        <v>181</v>
      </c>
      <c r="F66" s="1">
        <v>2018</v>
      </c>
      <c r="G66" s="16" t="s">
        <v>243</v>
      </c>
      <c r="H66" s="3" t="s">
        <v>30</v>
      </c>
      <c r="I66" s="3"/>
      <c r="J66" s="3">
        <v>50</v>
      </c>
      <c r="K66" s="3" t="s">
        <v>31</v>
      </c>
      <c r="L66" s="3" t="s">
        <v>31</v>
      </c>
      <c r="M66" s="3">
        <v>15</v>
      </c>
      <c r="N66" s="3" t="s">
        <v>1100</v>
      </c>
      <c r="O66" s="3" t="s">
        <v>1154</v>
      </c>
      <c r="P66" s="3" t="s">
        <v>33</v>
      </c>
      <c r="Q66" s="3">
        <v>8</v>
      </c>
      <c r="R66" s="3" t="s">
        <v>410</v>
      </c>
      <c r="S66" s="3" t="s">
        <v>31</v>
      </c>
      <c r="T66" s="1" t="s">
        <v>31</v>
      </c>
      <c r="U66" s="16" t="s">
        <v>264</v>
      </c>
      <c r="V66" s="3" t="s">
        <v>33</v>
      </c>
      <c r="W66" s="3" t="s">
        <v>220</v>
      </c>
      <c r="X66" s="3" t="s">
        <v>411</v>
      </c>
      <c r="Y66" s="3" t="s">
        <v>1095</v>
      </c>
      <c r="Z66" s="3">
        <v>10.24</v>
      </c>
      <c r="AA66" s="1" t="s">
        <v>1298</v>
      </c>
      <c r="AB66" s="16" t="s">
        <v>1314</v>
      </c>
      <c r="AC66" s="3" t="s">
        <v>40</v>
      </c>
      <c r="AD66" s="3" t="s">
        <v>196</v>
      </c>
      <c r="AE66" s="3" t="s">
        <v>412</v>
      </c>
      <c r="AF66" s="3" t="s">
        <v>33</v>
      </c>
      <c r="AG66" s="3" t="s">
        <v>33</v>
      </c>
      <c r="AH66" s="1" t="s">
        <v>33</v>
      </c>
      <c r="AI66" s="3" t="s">
        <v>30</v>
      </c>
      <c r="AJ66" s="24" t="s">
        <v>413</v>
      </c>
      <c r="AK66" s="3" t="s">
        <v>33</v>
      </c>
      <c r="AL66" s="3" t="s">
        <v>30</v>
      </c>
      <c r="AM66" s="3"/>
      <c r="AN66" s="3" t="s">
        <v>33</v>
      </c>
      <c r="AO66" s="4" t="s">
        <v>64</v>
      </c>
      <c r="AP66" s="3"/>
    </row>
    <row r="67" spans="1:42" ht="64" x14ac:dyDescent="0.2">
      <c r="A67" s="23">
        <v>86</v>
      </c>
      <c r="B67" s="3" t="s">
        <v>414</v>
      </c>
      <c r="C67" s="3" t="s">
        <v>415</v>
      </c>
      <c r="D67" s="24" t="s">
        <v>416</v>
      </c>
      <c r="E67" s="3" t="s">
        <v>28</v>
      </c>
      <c r="F67" s="1">
        <v>2018</v>
      </c>
      <c r="G67" s="16" t="s">
        <v>417</v>
      </c>
      <c r="H67" s="3" t="s">
        <v>30</v>
      </c>
      <c r="I67" s="3"/>
      <c r="J67" s="3">
        <v>20</v>
      </c>
      <c r="K67" s="3">
        <v>4</v>
      </c>
      <c r="L67" s="3" t="s">
        <v>31</v>
      </c>
      <c r="M67" s="3">
        <v>6</v>
      </c>
      <c r="N67" s="3" t="s">
        <v>31</v>
      </c>
      <c r="O67" s="3" t="s">
        <v>31</v>
      </c>
      <c r="P67" s="3" t="s">
        <v>30</v>
      </c>
      <c r="Q67" s="3">
        <v>4</v>
      </c>
      <c r="R67" s="3" t="s">
        <v>418</v>
      </c>
      <c r="S67" s="3" t="s">
        <v>31</v>
      </c>
      <c r="T67" s="1" t="s">
        <v>31</v>
      </c>
      <c r="U67" s="16" t="s">
        <v>123</v>
      </c>
      <c r="V67" s="3" t="s">
        <v>33</v>
      </c>
      <c r="W67" s="3" t="s">
        <v>419</v>
      </c>
      <c r="X67" s="3" t="s">
        <v>30</v>
      </c>
      <c r="Y67" s="3" t="s">
        <v>1138</v>
      </c>
      <c r="Z67" s="3">
        <v>3.2</v>
      </c>
      <c r="AA67" s="1" t="s">
        <v>420</v>
      </c>
      <c r="AB67" s="16" t="s">
        <v>31</v>
      </c>
      <c r="AC67" s="3" t="s">
        <v>232</v>
      </c>
      <c r="AD67" s="3" t="s">
        <v>62</v>
      </c>
      <c r="AE67" s="3" t="s">
        <v>33</v>
      </c>
      <c r="AF67" s="3" t="s">
        <v>33</v>
      </c>
      <c r="AG67" s="3" t="s">
        <v>33</v>
      </c>
      <c r="AH67" s="1" t="s">
        <v>33</v>
      </c>
      <c r="AI67" s="4" t="s">
        <v>1400</v>
      </c>
      <c r="AJ67" s="24" t="s">
        <v>1402</v>
      </c>
      <c r="AK67" s="3" t="s">
        <v>33</v>
      </c>
      <c r="AL67" s="3" t="s">
        <v>33</v>
      </c>
      <c r="AM67" s="3" t="s">
        <v>1035</v>
      </c>
      <c r="AN67" s="3" t="s">
        <v>33</v>
      </c>
      <c r="AO67" s="3" t="s">
        <v>64</v>
      </c>
      <c r="AP67" s="3"/>
    </row>
    <row r="68" spans="1:42" ht="64" x14ac:dyDescent="0.2">
      <c r="A68" s="23">
        <v>115</v>
      </c>
      <c r="B68" s="3" t="s">
        <v>421</v>
      </c>
      <c r="C68" s="3" t="s">
        <v>422</v>
      </c>
      <c r="D68" s="3" t="s">
        <v>423</v>
      </c>
      <c r="E68" s="3" t="s">
        <v>168</v>
      </c>
      <c r="F68" s="1">
        <v>2019</v>
      </c>
      <c r="G68" s="16" t="s">
        <v>417</v>
      </c>
      <c r="H68" s="3" t="s">
        <v>30</v>
      </c>
      <c r="I68" s="3"/>
      <c r="J68" s="3" t="s">
        <v>31</v>
      </c>
      <c r="K68" s="3" t="s">
        <v>31</v>
      </c>
      <c r="L68" s="3" t="s">
        <v>31</v>
      </c>
      <c r="M68" s="3" t="s">
        <v>31</v>
      </c>
      <c r="N68" s="3" t="s">
        <v>31</v>
      </c>
      <c r="O68" s="3" t="s">
        <v>31</v>
      </c>
      <c r="P68" s="3" t="s">
        <v>31</v>
      </c>
      <c r="Q68" s="3" t="s">
        <v>1176</v>
      </c>
      <c r="R68" s="3" t="s">
        <v>1190</v>
      </c>
      <c r="S68" s="3" t="s">
        <v>31</v>
      </c>
      <c r="T68" s="1" t="s">
        <v>31</v>
      </c>
      <c r="U68" s="16" t="s">
        <v>424</v>
      </c>
      <c r="V68" s="3" t="s">
        <v>33</v>
      </c>
      <c r="W68" s="3" t="s">
        <v>230</v>
      </c>
      <c r="X68" s="3" t="s">
        <v>30</v>
      </c>
      <c r="Y68" s="3" t="s">
        <v>1246</v>
      </c>
      <c r="Z68" s="3" t="s">
        <v>31</v>
      </c>
      <c r="AA68" s="1" t="s">
        <v>31</v>
      </c>
      <c r="AB68" s="16" t="s">
        <v>39</v>
      </c>
      <c r="AC68" s="3" t="s">
        <v>425</v>
      </c>
      <c r="AD68" s="3" t="s">
        <v>37</v>
      </c>
      <c r="AE68" s="3" t="s">
        <v>33</v>
      </c>
      <c r="AF68" s="3" t="s">
        <v>33</v>
      </c>
      <c r="AG68" s="3" t="s">
        <v>30</v>
      </c>
      <c r="AH68" s="1" t="s">
        <v>33</v>
      </c>
      <c r="AI68" s="3" t="s">
        <v>33</v>
      </c>
      <c r="AJ68" s="3"/>
      <c r="AK68" s="3" t="s">
        <v>33</v>
      </c>
      <c r="AL68" s="3" t="s">
        <v>33</v>
      </c>
      <c r="AM68" s="3" t="s">
        <v>1036</v>
      </c>
      <c r="AN68" s="3" t="s">
        <v>33</v>
      </c>
      <c r="AO68" s="3" t="s">
        <v>1053</v>
      </c>
      <c r="AP68" s="3"/>
    </row>
    <row r="69" spans="1:42" ht="80" x14ac:dyDescent="0.2">
      <c r="A69" s="23">
        <v>127</v>
      </c>
      <c r="B69" s="3" t="s">
        <v>426</v>
      </c>
      <c r="C69" s="3" t="s">
        <v>427</v>
      </c>
      <c r="D69" s="3" t="s">
        <v>428</v>
      </c>
      <c r="E69" s="3" t="s">
        <v>96</v>
      </c>
      <c r="F69" s="1">
        <v>2024</v>
      </c>
      <c r="G69" s="16" t="s">
        <v>429</v>
      </c>
      <c r="H69" s="3" t="s">
        <v>30</v>
      </c>
      <c r="I69" s="3" t="s">
        <v>1031</v>
      </c>
      <c r="J69" s="3">
        <v>30</v>
      </c>
      <c r="K69" s="3" t="s">
        <v>31</v>
      </c>
      <c r="L69" s="3" t="s">
        <v>31</v>
      </c>
      <c r="M69" s="3" t="s">
        <v>430</v>
      </c>
      <c r="N69" s="3" t="s">
        <v>31</v>
      </c>
      <c r="O69" s="3" t="s">
        <v>1155</v>
      </c>
      <c r="P69" s="3" t="s">
        <v>33</v>
      </c>
      <c r="Q69" s="3" t="s">
        <v>1030</v>
      </c>
      <c r="R69" s="3" t="s">
        <v>31</v>
      </c>
      <c r="S69" s="3" t="s">
        <v>31</v>
      </c>
      <c r="T69" s="1" t="s">
        <v>31</v>
      </c>
      <c r="U69" s="16" t="s">
        <v>431</v>
      </c>
      <c r="V69" s="3" t="s">
        <v>30</v>
      </c>
      <c r="W69" s="3" t="s">
        <v>31</v>
      </c>
      <c r="X69" s="3" t="s">
        <v>31</v>
      </c>
      <c r="Y69" s="3" t="s">
        <v>31</v>
      </c>
      <c r="Z69" s="3">
        <v>10</v>
      </c>
      <c r="AA69" s="1" t="s">
        <v>31</v>
      </c>
      <c r="AB69" s="16" t="s">
        <v>1315</v>
      </c>
      <c r="AC69" s="3" t="s">
        <v>432</v>
      </c>
      <c r="AD69" s="3" t="s">
        <v>1361</v>
      </c>
      <c r="AE69" s="3" t="s">
        <v>33</v>
      </c>
      <c r="AF69" s="3" t="s">
        <v>33</v>
      </c>
      <c r="AG69" s="3" t="s">
        <v>30</v>
      </c>
      <c r="AH69" s="1" t="s">
        <v>30</v>
      </c>
      <c r="AI69" s="3" t="s">
        <v>30</v>
      </c>
      <c r="AJ69" s="24" t="s">
        <v>1055</v>
      </c>
      <c r="AK69" s="3" t="s">
        <v>1403</v>
      </c>
      <c r="AL69" s="3" t="s">
        <v>30</v>
      </c>
      <c r="AM69" s="3"/>
      <c r="AN69" s="3" t="s">
        <v>30</v>
      </c>
      <c r="AO69" s="3"/>
      <c r="AP69" s="3"/>
    </row>
    <row r="70" spans="1:42" ht="409.6" x14ac:dyDescent="0.2">
      <c r="A70" s="23">
        <v>16</v>
      </c>
      <c r="B70" s="3" t="s">
        <v>433</v>
      </c>
      <c r="C70" s="3" t="s">
        <v>434</v>
      </c>
      <c r="D70" s="24" t="s">
        <v>435</v>
      </c>
      <c r="E70" s="3" t="s">
        <v>316</v>
      </c>
      <c r="F70" s="1">
        <v>2015</v>
      </c>
      <c r="G70" s="16" t="s">
        <v>436</v>
      </c>
      <c r="H70" s="3" t="s">
        <v>30</v>
      </c>
      <c r="I70" s="3" t="s">
        <v>1063</v>
      </c>
      <c r="J70" s="3" t="s">
        <v>31</v>
      </c>
      <c r="K70" s="3" t="s">
        <v>31</v>
      </c>
      <c r="L70" s="3" t="s">
        <v>31</v>
      </c>
      <c r="M70" s="3">
        <v>21</v>
      </c>
      <c r="N70" s="3" t="s">
        <v>31</v>
      </c>
      <c r="O70" s="3" t="s">
        <v>31</v>
      </c>
      <c r="P70" s="3" t="s">
        <v>30</v>
      </c>
      <c r="Q70" s="3">
        <v>18</v>
      </c>
      <c r="R70" s="3" t="s">
        <v>1191</v>
      </c>
      <c r="S70" s="3" t="s">
        <v>31</v>
      </c>
      <c r="T70" s="1" t="s">
        <v>49</v>
      </c>
      <c r="U70" s="16" t="s">
        <v>437</v>
      </c>
      <c r="V70" s="3" t="s">
        <v>30</v>
      </c>
      <c r="W70" s="3" t="s">
        <v>31</v>
      </c>
      <c r="X70" s="3" t="s">
        <v>30</v>
      </c>
      <c r="Y70" s="3" t="s">
        <v>1247</v>
      </c>
      <c r="Z70" s="3">
        <v>4</v>
      </c>
      <c r="AA70" s="1">
        <v>25</v>
      </c>
      <c r="AB70" s="16" t="s">
        <v>1316</v>
      </c>
      <c r="AC70" s="3" t="s">
        <v>40</v>
      </c>
      <c r="AD70" s="3" t="s">
        <v>438</v>
      </c>
      <c r="AE70" s="3" t="s">
        <v>33</v>
      </c>
      <c r="AF70" s="3" t="s">
        <v>33</v>
      </c>
      <c r="AG70" s="3" t="s">
        <v>30</v>
      </c>
      <c r="AH70" s="1" t="s">
        <v>33</v>
      </c>
      <c r="AI70" s="3" t="s">
        <v>33</v>
      </c>
      <c r="AJ70" s="3"/>
      <c r="AK70" s="3" t="s">
        <v>33</v>
      </c>
      <c r="AL70" s="3" t="s">
        <v>33</v>
      </c>
      <c r="AM70" s="3" t="s">
        <v>1037</v>
      </c>
      <c r="AN70" s="3" t="s">
        <v>33</v>
      </c>
      <c r="AO70" s="3" t="s">
        <v>1044</v>
      </c>
      <c r="AP70" s="3"/>
    </row>
    <row r="71" spans="1:42" ht="80" x14ac:dyDescent="0.2">
      <c r="A71" s="23">
        <v>99</v>
      </c>
      <c r="B71" s="3" t="s">
        <v>439</v>
      </c>
      <c r="C71" s="3" t="s">
        <v>440</v>
      </c>
      <c r="D71" s="3" t="s">
        <v>441</v>
      </c>
      <c r="E71" s="3" t="s">
        <v>316</v>
      </c>
      <c r="F71" s="1">
        <v>2017</v>
      </c>
      <c r="G71" s="16" t="s">
        <v>65</v>
      </c>
      <c r="H71" s="3" t="s">
        <v>30</v>
      </c>
      <c r="I71" s="3"/>
      <c r="J71" s="3">
        <v>32</v>
      </c>
      <c r="K71" s="3">
        <v>3</v>
      </c>
      <c r="L71" s="3" t="s">
        <v>31</v>
      </c>
      <c r="M71" s="3">
        <v>16</v>
      </c>
      <c r="N71" s="3" t="s">
        <v>442</v>
      </c>
      <c r="O71" s="3" t="s">
        <v>31</v>
      </c>
      <c r="P71" s="3" t="s">
        <v>31</v>
      </c>
      <c r="Q71" s="3">
        <v>7</v>
      </c>
      <c r="R71" s="3" t="s">
        <v>1192</v>
      </c>
      <c r="S71" s="3" t="s">
        <v>31</v>
      </c>
      <c r="T71" s="1" t="s">
        <v>31</v>
      </c>
      <c r="U71" s="16" t="s">
        <v>443</v>
      </c>
      <c r="V71" s="3" t="s">
        <v>30</v>
      </c>
      <c r="W71" s="3" t="s">
        <v>31</v>
      </c>
      <c r="X71" s="3" t="s">
        <v>31</v>
      </c>
      <c r="Y71" s="3"/>
      <c r="Z71" s="3" t="s">
        <v>31</v>
      </c>
      <c r="AA71" s="1" t="s">
        <v>31</v>
      </c>
      <c r="AB71" s="16" t="s">
        <v>1306</v>
      </c>
      <c r="AC71" s="3" t="s">
        <v>444</v>
      </c>
      <c r="AD71" s="3" t="s">
        <v>445</v>
      </c>
      <c r="AE71" s="3" t="s">
        <v>30</v>
      </c>
      <c r="AF71" s="3" t="s">
        <v>33</v>
      </c>
      <c r="AG71" s="3" t="s">
        <v>33</v>
      </c>
      <c r="AH71" s="1" t="s">
        <v>33</v>
      </c>
      <c r="AI71" s="3" t="s">
        <v>33</v>
      </c>
      <c r="AJ71" s="3"/>
      <c r="AK71" s="3" t="s">
        <v>33</v>
      </c>
      <c r="AL71" s="3" t="s">
        <v>33</v>
      </c>
      <c r="AM71" s="3" t="s">
        <v>1036</v>
      </c>
      <c r="AN71" s="3" t="s">
        <v>33</v>
      </c>
      <c r="AO71" s="3" t="s">
        <v>64</v>
      </c>
      <c r="AP71" s="3"/>
    </row>
    <row r="72" spans="1:42" ht="64" x14ac:dyDescent="0.2">
      <c r="A72" s="23">
        <v>87</v>
      </c>
      <c r="B72" s="3" t="s">
        <v>446</v>
      </c>
      <c r="C72" s="3" t="s">
        <v>447</v>
      </c>
      <c r="D72" s="3" t="s">
        <v>448</v>
      </c>
      <c r="E72" s="3" t="s">
        <v>117</v>
      </c>
      <c r="F72" s="1">
        <v>2023</v>
      </c>
      <c r="G72" s="16" t="s">
        <v>65</v>
      </c>
      <c r="H72" s="3" t="s">
        <v>30</v>
      </c>
      <c r="I72" s="3"/>
      <c r="J72" s="3">
        <v>32</v>
      </c>
      <c r="K72" s="3" t="s">
        <v>31</v>
      </c>
      <c r="L72" s="3" t="s">
        <v>31</v>
      </c>
      <c r="M72" s="3">
        <v>16</v>
      </c>
      <c r="N72" s="3" t="s">
        <v>31</v>
      </c>
      <c r="O72" s="3" t="s">
        <v>1154</v>
      </c>
      <c r="P72" s="3" t="s">
        <v>31</v>
      </c>
      <c r="Q72" s="3">
        <v>14</v>
      </c>
      <c r="R72" s="3" t="s">
        <v>1161</v>
      </c>
      <c r="S72" s="3" t="s">
        <v>31</v>
      </c>
      <c r="T72" s="1" t="s">
        <v>49</v>
      </c>
      <c r="U72" s="16" t="s">
        <v>449</v>
      </c>
      <c r="V72" s="3" t="s">
        <v>30</v>
      </c>
      <c r="W72" s="3" t="s">
        <v>450</v>
      </c>
      <c r="X72" s="3" t="s">
        <v>33</v>
      </c>
      <c r="Y72" s="3"/>
      <c r="Z72" s="3" t="s">
        <v>31</v>
      </c>
      <c r="AA72" s="1" t="s">
        <v>31</v>
      </c>
      <c r="AB72" s="16" t="s">
        <v>39</v>
      </c>
      <c r="AC72" s="3" t="s">
        <v>146</v>
      </c>
      <c r="AD72" s="3" t="s">
        <v>451</v>
      </c>
      <c r="AE72" s="3" t="s">
        <v>30</v>
      </c>
      <c r="AF72" s="3" t="s">
        <v>33</v>
      </c>
      <c r="AG72" s="3" t="s">
        <v>30</v>
      </c>
      <c r="AH72" s="1" t="s">
        <v>33</v>
      </c>
      <c r="AI72" s="3" t="s">
        <v>33</v>
      </c>
      <c r="AJ72" s="3"/>
      <c r="AK72" s="3" t="s">
        <v>33</v>
      </c>
      <c r="AL72" s="3" t="s">
        <v>33</v>
      </c>
      <c r="AM72" s="3" t="s">
        <v>1036</v>
      </c>
      <c r="AN72" s="3" t="s">
        <v>33</v>
      </c>
      <c r="AO72" s="3" t="s">
        <v>1053</v>
      </c>
      <c r="AP72" s="3"/>
    </row>
    <row r="73" spans="1:42" ht="96" x14ac:dyDescent="0.2">
      <c r="A73" s="23">
        <v>104</v>
      </c>
      <c r="B73" s="3" t="s">
        <v>452</v>
      </c>
      <c r="C73" s="3" t="s">
        <v>150</v>
      </c>
      <c r="D73" s="3" t="s">
        <v>453</v>
      </c>
      <c r="E73" s="3" t="s">
        <v>160</v>
      </c>
      <c r="F73" s="1">
        <v>2023</v>
      </c>
      <c r="G73" s="16" t="s">
        <v>65</v>
      </c>
      <c r="H73" s="3" t="s">
        <v>30</v>
      </c>
      <c r="I73" s="3"/>
      <c r="J73" s="3">
        <v>32</v>
      </c>
      <c r="K73" s="3" t="s">
        <v>31</v>
      </c>
      <c r="L73" s="3" t="s">
        <v>31</v>
      </c>
      <c r="M73" s="3">
        <v>16</v>
      </c>
      <c r="N73" s="3" t="s">
        <v>1101</v>
      </c>
      <c r="O73" s="3" t="s">
        <v>31</v>
      </c>
      <c r="P73" s="3" t="s">
        <v>31</v>
      </c>
      <c r="Q73" s="3">
        <v>14</v>
      </c>
      <c r="R73" s="3" t="s">
        <v>454</v>
      </c>
      <c r="S73" s="3" t="s">
        <v>31</v>
      </c>
      <c r="T73" s="1" t="s">
        <v>49</v>
      </c>
      <c r="U73" s="16" t="s">
        <v>455</v>
      </c>
      <c r="V73" s="3" t="s">
        <v>30</v>
      </c>
      <c r="W73" s="3" t="s">
        <v>456</v>
      </c>
      <c r="X73" s="3" t="s">
        <v>33</v>
      </c>
      <c r="Y73" s="3"/>
      <c r="Z73" s="3">
        <v>3</v>
      </c>
      <c r="AA73" s="1">
        <v>50</v>
      </c>
      <c r="AB73" s="16" t="s">
        <v>231</v>
      </c>
      <c r="AC73" s="3" t="s">
        <v>164</v>
      </c>
      <c r="AD73" s="3" t="s">
        <v>62</v>
      </c>
      <c r="AE73" s="3" t="s">
        <v>30</v>
      </c>
      <c r="AF73" s="3" t="s">
        <v>33</v>
      </c>
      <c r="AG73" s="3" t="s">
        <v>33</v>
      </c>
      <c r="AH73" s="1" t="s">
        <v>33</v>
      </c>
      <c r="AI73" s="3" t="s">
        <v>33</v>
      </c>
      <c r="AJ73" s="3"/>
      <c r="AK73" s="3" t="s">
        <v>33</v>
      </c>
      <c r="AL73" s="3" t="s">
        <v>33</v>
      </c>
      <c r="AM73" s="3" t="s">
        <v>1035</v>
      </c>
      <c r="AN73" s="3" t="s">
        <v>33</v>
      </c>
      <c r="AO73" s="3" t="s">
        <v>64</v>
      </c>
      <c r="AP73" s="3"/>
    </row>
    <row r="74" spans="1:42" ht="335" x14ac:dyDescent="0.2">
      <c r="A74" s="23">
        <v>22</v>
      </c>
      <c r="B74" s="3" t="s">
        <v>457</v>
      </c>
      <c r="C74" s="3" t="s">
        <v>458</v>
      </c>
      <c r="D74" s="24" t="s">
        <v>459</v>
      </c>
      <c r="E74" s="3" t="s">
        <v>168</v>
      </c>
      <c r="F74" s="1">
        <v>2022</v>
      </c>
      <c r="G74" s="16" t="s">
        <v>460</v>
      </c>
      <c r="H74" s="3" t="s">
        <v>30</v>
      </c>
      <c r="I74" s="3"/>
      <c r="J74" s="3">
        <v>20</v>
      </c>
      <c r="K74" s="3" t="s">
        <v>31</v>
      </c>
      <c r="L74" s="3" t="s">
        <v>461</v>
      </c>
      <c r="M74" s="3">
        <v>51</v>
      </c>
      <c r="N74" s="3" t="s">
        <v>31</v>
      </c>
      <c r="O74" s="3" t="s">
        <v>1154</v>
      </c>
      <c r="P74" s="3" t="s">
        <v>30</v>
      </c>
      <c r="Q74" s="3">
        <v>18</v>
      </c>
      <c r="R74" s="3" t="s">
        <v>462</v>
      </c>
      <c r="S74" s="3" t="s">
        <v>31</v>
      </c>
      <c r="T74" s="1" t="s">
        <v>35</v>
      </c>
      <c r="U74" s="16" t="s">
        <v>1220</v>
      </c>
      <c r="V74" s="3" t="s">
        <v>30</v>
      </c>
      <c r="W74" s="3" t="s">
        <v>463</v>
      </c>
      <c r="X74" s="3" t="s">
        <v>30</v>
      </c>
      <c r="Y74" s="3" t="s">
        <v>1248</v>
      </c>
      <c r="Z74" s="3">
        <v>10</v>
      </c>
      <c r="AA74" s="1">
        <v>0</v>
      </c>
      <c r="AB74" s="16" t="s">
        <v>31</v>
      </c>
      <c r="AC74" s="3" t="s">
        <v>40</v>
      </c>
      <c r="AD74" s="3" t="s">
        <v>464</v>
      </c>
      <c r="AE74" s="3" t="s">
        <v>33</v>
      </c>
      <c r="AF74" s="3" t="s">
        <v>30</v>
      </c>
      <c r="AG74" s="3" t="s">
        <v>33</v>
      </c>
      <c r="AH74" s="1" t="s">
        <v>33</v>
      </c>
      <c r="AI74" s="3" t="s">
        <v>33</v>
      </c>
      <c r="AJ74" s="3"/>
      <c r="AK74" s="3" t="s">
        <v>33</v>
      </c>
      <c r="AL74" s="3" t="s">
        <v>30</v>
      </c>
      <c r="AM74" s="3"/>
      <c r="AN74" s="3" t="s">
        <v>33</v>
      </c>
      <c r="AO74" s="4" t="s">
        <v>64</v>
      </c>
      <c r="AP74" s="3"/>
    </row>
    <row r="75" spans="1:42" ht="64" x14ac:dyDescent="0.2">
      <c r="A75" s="23">
        <v>4</v>
      </c>
      <c r="B75" s="3" t="s">
        <v>465</v>
      </c>
      <c r="C75" s="3" t="s">
        <v>466</v>
      </c>
      <c r="D75" s="24" t="s">
        <v>467</v>
      </c>
      <c r="E75" s="3" t="s">
        <v>316</v>
      </c>
      <c r="F75" s="1">
        <v>2021</v>
      </c>
      <c r="G75" s="16" t="s">
        <v>460</v>
      </c>
      <c r="H75" s="3" t="s">
        <v>30</v>
      </c>
      <c r="I75" s="3"/>
      <c r="J75" s="3">
        <v>20</v>
      </c>
      <c r="K75" s="3" t="s">
        <v>31</v>
      </c>
      <c r="L75" s="3" t="s">
        <v>31</v>
      </c>
      <c r="M75" s="3">
        <v>51</v>
      </c>
      <c r="N75" s="3" t="s">
        <v>31</v>
      </c>
      <c r="O75" s="3" t="s">
        <v>31</v>
      </c>
      <c r="P75" s="3" t="s">
        <v>31</v>
      </c>
      <c r="Q75" s="3" t="s">
        <v>1162</v>
      </c>
      <c r="R75" s="3" t="s">
        <v>468</v>
      </c>
      <c r="S75" s="3" t="s">
        <v>31</v>
      </c>
      <c r="T75" s="1" t="s">
        <v>31</v>
      </c>
      <c r="U75" s="16" t="s">
        <v>469</v>
      </c>
      <c r="V75" s="3" t="s">
        <v>30</v>
      </c>
      <c r="W75" s="3" t="s">
        <v>470</v>
      </c>
      <c r="X75" s="3" t="s">
        <v>33</v>
      </c>
      <c r="Y75" s="3"/>
      <c r="Z75" s="3">
        <v>5</v>
      </c>
      <c r="AA75" s="1">
        <v>50</v>
      </c>
      <c r="AB75" s="16" t="s">
        <v>1317</v>
      </c>
      <c r="AC75" s="3" t="s">
        <v>40</v>
      </c>
      <c r="AD75" s="3" t="s">
        <v>37</v>
      </c>
      <c r="AE75" s="3" t="s">
        <v>33</v>
      </c>
      <c r="AF75" s="3" t="s">
        <v>33</v>
      </c>
      <c r="AG75" s="3" t="s">
        <v>33</v>
      </c>
      <c r="AH75" s="1" t="s">
        <v>33</v>
      </c>
      <c r="AI75" s="3" t="s">
        <v>33</v>
      </c>
      <c r="AJ75" s="3"/>
      <c r="AK75" s="3" t="s">
        <v>33</v>
      </c>
      <c r="AL75" s="3" t="s">
        <v>33</v>
      </c>
      <c r="AM75" s="3" t="s">
        <v>1035</v>
      </c>
      <c r="AN75" s="3" t="s">
        <v>33</v>
      </c>
      <c r="AO75" s="3" t="s">
        <v>64</v>
      </c>
      <c r="AP75" s="3"/>
    </row>
    <row r="76" spans="1:42" ht="80" x14ac:dyDescent="0.2">
      <c r="A76" s="23">
        <v>33</v>
      </c>
      <c r="B76" s="3" t="s">
        <v>471</v>
      </c>
      <c r="C76" s="3" t="s">
        <v>472</v>
      </c>
      <c r="D76" s="24" t="s">
        <v>473</v>
      </c>
      <c r="E76" s="3" t="s">
        <v>160</v>
      </c>
      <c r="F76" s="1">
        <v>2021</v>
      </c>
      <c r="G76" s="16" t="s">
        <v>460</v>
      </c>
      <c r="H76" s="3" t="s">
        <v>30</v>
      </c>
      <c r="I76" s="3"/>
      <c r="J76" s="3">
        <v>20</v>
      </c>
      <c r="K76" s="3" t="s">
        <v>31</v>
      </c>
      <c r="L76" s="3" t="s">
        <v>31</v>
      </c>
      <c r="M76" s="3">
        <v>51</v>
      </c>
      <c r="N76" s="3" t="s">
        <v>31</v>
      </c>
      <c r="O76" s="3" t="s">
        <v>31</v>
      </c>
      <c r="P76" s="3" t="s">
        <v>30</v>
      </c>
      <c r="Q76" s="3">
        <v>18</v>
      </c>
      <c r="R76" s="3" t="s">
        <v>1193</v>
      </c>
      <c r="S76" s="3" t="s">
        <v>31</v>
      </c>
      <c r="T76" s="1" t="s">
        <v>80</v>
      </c>
      <c r="U76" s="16" t="s">
        <v>1221</v>
      </c>
      <c r="V76" s="3" t="s">
        <v>30</v>
      </c>
      <c r="W76" s="3" t="s">
        <v>474</v>
      </c>
      <c r="X76" s="3" t="s">
        <v>33</v>
      </c>
      <c r="Y76" s="3"/>
      <c r="Z76" s="3">
        <v>10</v>
      </c>
      <c r="AA76" s="1" t="s">
        <v>31</v>
      </c>
      <c r="AB76" s="16" t="s">
        <v>1306</v>
      </c>
      <c r="AC76" s="3" t="s">
        <v>40</v>
      </c>
      <c r="AD76" s="3" t="s">
        <v>112</v>
      </c>
      <c r="AE76" s="3" t="s">
        <v>30</v>
      </c>
      <c r="AF76" s="3" t="s">
        <v>30</v>
      </c>
      <c r="AG76" s="3" t="s">
        <v>33</v>
      </c>
      <c r="AH76" s="1" t="s">
        <v>33</v>
      </c>
      <c r="AI76" s="3" t="s">
        <v>33</v>
      </c>
      <c r="AJ76" s="3"/>
      <c r="AK76" s="3" t="s">
        <v>33</v>
      </c>
      <c r="AL76" s="3" t="s">
        <v>33</v>
      </c>
      <c r="AM76" s="3" t="s">
        <v>1035</v>
      </c>
      <c r="AN76" s="3" t="s">
        <v>33</v>
      </c>
      <c r="AO76" s="3" t="s">
        <v>64</v>
      </c>
      <c r="AP76" s="3"/>
    </row>
    <row r="77" spans="1:42" ht="128" x14ac:dyDescent="0.2">
      <c r="A77" s="23">
        <v>26</v>
      </c>
      <c r="B77" s="3" t="s">
        <v>475</v>
      </c>
      <c r="C77" s="3" t="s">
        <v>476</v>
      </c>
      <c r="D77" s="24" t="s">
        <v>477</v>
      </c>
      <c r="E77" s="3" t="s">
        <v>478</v>
      </c>
      <c r="F77" s="1">
        <v>2022</v>
      </c>
      <c r="G77" s="16" t="s">
        <v>460</v>
      </c>
      <c r="H77" s="3" t="s">
        <v>30</v>
      </c>
      <c r="I77" s="3"/>
      <c r="J77" s="3" t="s">
        <v>1070</v>
      </c>
      <c r="K77" s="3" t="s">
        <v>31</v>
      </c>
      <c r="L77" s="3" t="s">
        <v>479</v>
      </c>
      <c r="M77" s="3" t="s">
        <v>1102</v>
      </c>
      <c r="N77" s="3" t="s">
        <v>31</v>
      </c>
      <c r="O77" s="3" t="s">
        <v>31</v>
      </c>
      <c r="P77" s="3" t="s">
        <v>33</v>
      </c>
      <c r="Q77" s="3">
        <v>18</v>
      </c>
      <c r="R77" s="3" t="s">
        <v>1194</v>
      </c>
      <c r="S77" s="3" t="s">
        <v>31</v>
      </c>
      <c r="T77" s="1" t="s">
        <v>31</v>
      </c>
      <c r="U77" s="16" t="s">
        <v>1222</v>
      </c>
      <c r="V77" s="3" t="s">
        <v>30</v>
      </c>
      <c r="W77" s="3" t="s">
        <v>480</v>
      </c>
      <c r="X77" s="3" t="s">
        <v>481</v>
      </c>
      <c r="Y77" s="3" t="s">
        <v>1249</v>
      </c>
      <c r="Z77" s="3">
        <v>10</v>
      </c>
      <c r="AA77" s="1">
        <v>80</v>
      </c>
      <c r="AB77" s="16" t="s">
        <v>231</v>
      </c>
      <c r="AC77" s="3" t="s">
        <v>482</v>
      </c>
      <c r="AD77" s="3" t="s">
        <v>62</v>
      </c>
      <c r="AE77" s="3" t="s">
        <v>33</v>
      </c>
      <c r="AF77" s="3" t="s">
        <v>33</v>
      </c>
      <c r="AG77" s="3" t="s">
        <v>33</v>
      </c>
      <c r="AH77" s="1" t="s">
        <v>33</v>
      </c>
      <c r="AI77" s="3" t="s">
        <v>30</v>
      </c>
      <c r="AJ77" s="24" t="s">
        <v>483</v>
      </c>
      <c r="AK77" s="3" t="s">
        <v>33</v>
      </c>
      <c r="AL77" s="3" t="s">
        <v>30</v>
      </c>
      <c r="AM77" s="3"/>
      <c r="AN77" s="3" t="s">
        <v>33</v>
      </c>
      <c r="AO77" s="4" t="s">
        <v>64</v>
      </c>
      <c r="AP77" s="3"/>
    </row>
    <row r="78" spans="1:42" ht="48" x14ac:dyDescent="0.2">
      <c r="A78" s="23">
        <v>13</v>
      </c>
      <c r="B78" s="3" t="s">
        <v>484</v>
      </c>
      <c r="C78" s="3" t="s">
        <v>485</v>
      </c>
      <c r="D78" s="24" t="s">
        <v>486</v>
      </c>
      <c r="E78" s="3" t="s">
        <v>117</v>
      </c>
      <c r="F78" s="1">
        <v>2022</v>
      </c>
      <c r="G78" s="16" t="s">
        <v>460</v>
      </c>
      <c r="H78" s="3" t="s">
        <v>30</v>
      </c>
      <c r="I78" s="3"/>
      <c r="J78" s="3">
        <v>20</v>
      </c>
      <c r="K78" s="3" t="s">
        <v>31</v>
      </c>
      <c r="L78" s="3" t="s">
        <v>31</v>
      </c>
      <c r="M78" s="3">
        <v>29</v>
      </c>
      <c r="N78" s="3" t="s">
        <v>31</v>
      </c>
      <c r="O78" s="3" t="s">
        <v>31</v>
      </c>
      <c r="P78" s="3" t="s">
        <v>33</v>
      </c>
      <c r="Q78" s="3">
        <v>6</v>
      </c>
      <c r="R78" s="3" t="s">
        <v>487</v>
      </c>
      <c r="S78" s="3" t="s">
        <v>31</v>
      </c>
      <c r="T78" s="1" t="s">
        <v>31</v>
      </c>
      <c r="U78" s="16" t="s">
        <v>488</v>
      </c>
      <c r="V78" s="3" t="s">
        <v>33</v>
      </c>
      <c r="W78" s="3" t="s">
        <v>489</v>
      </c>
      <c r="X78" s="3" t="s">
        <v>33</v>
      </c>
      <c r="Y78" s="3"/>
      <c r="Z78" s="3">
        <v>2.6</v>
      </c>
      <c r="AA78" s="1">
        <v>25</v>
      </c>
      <c r="AB78" s="16" t="s">
        <v>1318</v>
      </c>
      <c r="AC78" s="3" t="s">
        <v>232</v>
      </c>
      <c r="AD78" s="3" t="s">
        <v>112</v>
      </c>
      <c r="AE78" s="3" t="s">
        <v>30</v>
      </c>
      <c r="AF78" s="3" t="s">
        <v>30</v>
      </c>
      <c r="AG78" s="3" t="s">
        <v>30</v>
      </c>
      <c r="AH78" s="1" t="s">
        <v>33</v>
      </c>
      <c r="AI78" s="3" t="s">
        <v>33</v>
      </c>
      <c r="AJ78" s="3"/>
      <c r="AK78" s="3" t="s">
        <v>33</v>
      </c>
      <c r="AL78" s="3" t="s">
        <v>30</v>
      </c>
      <c r="AM78" s="3"/>
      <c r="AN78" s="3" t="s">
        <v>33</v>
      </c>
      <c r="AO78" s="4" t="s">
        <v>64</v>
      </c>
      <c r="AP78" s="3"/>
    </row>
    <row r="79" spans="1:42" ht="64" x14ac:dyDescent="0.2">
      <c r="A79" s="23">
        <v>76</v>
      </c>
      <c r="B79" s="3" t="s">
        <v>490</v>
      </c>
      <c r="C79" s="3" t="s">
        <v>491</v>
      </c>
      <c r="D79" s="24" t="s">
        <v>492</v>
      </c>
      <c r="E79" s="3" t="s">
        <v>237</v>
      </c>
      <c r="F79" s="1">
        <v>2021</v>
      </c>
      <c r="G79" s="16" t="s">
        <v>460</v>
      </c>
      <c r="H79" s="3" t="s">
        <v>30</v>
      </c>
      <c r="I79" s="3"/>
      <c r="J79" s="3">
        <v>20</v>
      </c>
      <c r="K79" s="3" t="s">
        <v>31</v>
      </c>
      <c r="L79" s="3" t="s">
        <v>1071</v>
      </c>
      <c r="M79" s="3">
        <v>51</v>
      </c>
      <c r="N79" s="3" t="s">
        <v>31</v>
      </c>
      <c r="O79" s="3" t="s">
        <v>31</v>
      </c>
      <c r="P79" s="3" t="s">
        <v>30</v>
      </c>
      <c r="Q79" s="3">
        <v>18</v>
      </c>
      <c r="R79" s="3" t="s">
        <v>1138</v>
      </c>
      <c r="S79" s="3" t="s">
        <v>31</v>
      </c>
      <c r="T79" s="1" t="s">
        <v>31</v>
      </c>
      <c r="U79" s="16" t="s">
        <v>493</v>
      </c>
      <c r="V79" s="3" t="s">
        <v>30</v>
      </c>
      <c r="W79" s="3" t="s">
        <v>494</v>
      </c>
      <c r="X79" s="3" t="s">
        <v>33</v>
      </c>
      <c r="Y79" s="3"/>
      <c r="Z79" s="3" t="s">
        <v>495</v>
      </c>
      <c r="AA79" s="1" t="s">
        <v>495</v>
      </c>
      <c r="AB79" s="16" t="s">
        <v>74</v>
      </c>
      <c r="AC79" s="3" t="s">
        <v>232</v>
      </c>
      <c r="AD79" s="3" t="s">
        <v>266</v>
      </c>
      <c r="AE79" s="3" t="s">
        <v>33</v>
      </c>
      <c r="AF79" s="3" t="s">
        <v>30</v>
      </c>
      <c r="AG79" s="3" t="s">
        <v>33</v>
      </c>
      <c r="AH79" s="1" t="s">
        <v>33</v>
      </c>
      <c r="AI79" s="3" t="s">
        <v>33</v>
      </c>
      <c r="AJ79" s="3"/>
      <c r="AK79" s="3" t="s">
        <v>33</v>
      </c>
      <c r="AL79" s="3" t="s">
        <v>30</v>
      </c>
      <c r="AM79" s="3"/>
      <c r="AN79" s="3" t="s">
        <v>33</v>
      </c>
      <c r="AO79" s="4" t="s">
        <v>64</v>
      </c>
      <c r="AP79" s="3"/>
    </row>
    <row r="80" spans="1:42" ht="64" x14ac:dyDescent="0.2">
      <c r="A80" s="23">
        <v>41</v>
      </c>
      <c r="B80" s="3" t="s">
        <v>496</v>
      </c>
      <c r="C80" s="3" t="s">
        <v>497</v>
      </c>
      <c r="D80" s="24" t="s">
        <v>498</v>
      </c>
      <c r="E80" s="3" t="s">
        <v>316</v>
      </c>
      <c r="F80" s="1">
        <v>2023</v>
      </c>
      <c r="G80" s="16" t="s">
        <v>460</v>
      </c>
      <c r="H80" s="3" t="s">
        <v>30</v>
      </c>
      <c r="I80" s="3"/>
      <c r="J80" s="3" t="s">
        <v>31</v>
      </c>
      <c r="K80" s="3" t="s">
        <v>31</v>
      </c>
      <c r="L80" s="3" t="s">
        <v>31</v>
      </c>
      <c r="M80" s="3">
        <v>51</v>
      </c>
      <c r="N80" s="3" t="s">
        <v>1103</v>
      </c>
      <c r="O80" s="3" t="s">
        <v>1154</v>
      </c>
      <c r="P80" s="3" t="s">
        <v>30</v>
      </c>
      <c r="Q80" s="3">
        <v>18</v>
      </c>
      <c r="R80" s="3" t="s">
        <v>1195</v>
      </c>
      <c r="S80" s="3" t="s">
        <v>31</v>
      </c>
      <c r="T80" s="1" t="s">
        <v>80</v>
      </c>
      <c r="U80" s="16" t="s">
        <v>499</v>
      </c>
      <c r="V80" s="3" t="s">
        <v>30</v>
      </c>
      <c r="W80" s="3" t="s">
        <v>220</v>
      </c>
      <c r="X80" s="3" t="s">
        <v>92</v>
      </c>
      <c r="Y80" s="3" t="s">
        <v>1250</v>
      </c>
      <c r="Z80" s="3" t="s">
        <v>500</v>
      </c>
      <c r="AA80" s="1" t="s">
        <v>501</v>
      </c>
      <c r="AB80" s="16" t="s">
        <v>74</v>
      </c>
      <c r="AC80" s="3" t="s">
        <v>502</v>
      </c>
      <c r="AD80" s="3" t="s">
        <v>112</v>
      </c>
      <c r="AE80" s="3" t="s">
        <v>30</v>
      </c>
      <c r="AF80" s="3" t="s">
        <v>30</v>
      </c>
      <c r="AG80" s="3" t="s">
        <v>30</v>
      </c>
      <c r="AH80" s="1" t="s">
        <v>33</v>
      </c>
      <c r="AI80" s="3" t="s">
        <v>33</v>
      </c>
      <c r="AJ80" s="3"/>
      <c r="AK80" s="3" t="s">
        <v>33</v>
      </c>
      <c r="AL80" s="3" t="s">
        <v>30</v>
      </c>
      <c r="AM80" s="3"/>
      <c r="AN80" s="3" t="s">
        <v>33</v>
      </c>
      <c r="AO80" s="4" t="s">
        <v>64</v>
      </c>
      <c r="AP80" s="3"/>
    </row>
    <row r="81" spans="1:58" ht="192" x14ac:dyDescent="0.2">
      <c r="A81" s="23">
        <v>105</v>
      </c>
      <c r="B81" s="4" t="s">
        <v>503</v>
      </c>
      <c r="C81" s="24" t="s">
        <v>504</v>
      </c>
      <c r="D81" s="24" t="s">
        <v>505</v>
      </c>
      <c r="E81" s="24" t="s">
        <v>117</v>
      </c>
      <c r="F81" s="1">
        <v>2021</v>
      </c>
      <c r="G81" s="16" t="s">
        <v>460</v>
      </c>
      <c r="H81" s="3" t="s">
        <v>30</v>
      </c>
      <c r="I81" s="3"/>
      <c r="J81" s="3">
        <v>20</v>
      </c>
      <c r="K81" s="3" t="s">
        <v>31</v>
      </c>
      <c r="L81" s="3" t="s">
        <v>31</v>
      </c>
      <c r="M81" s="3">
        <v>51</v>
      </c>
      <c r="N81" s="3" t="s">
        <v>31</v>
      </c>
      <c r="O81" s="3" t="s">
        <v>31</v>
      </c>
      <c r="P81" s="3" t="s">
        <v>30</v>
      </c>
      <c r="Q81" s="3" t="s">
        <v>1163</v>
      </c>
      <c r="R81" s="3" t="s">
        <v>1196</v>
      </c>
      <c r="S81" s="3" t="s">
        <v>31</v>
      </c>
      <c r="T81" s="1" t="s">
        <v>31</v>
      </c>
      <c r="U81" s="16" t="s">
        <v>506</v>
      </c>
      <c r="V81" s="3" t="s">
        <v>30</v>
      </c>
      <c r="W81" s="3" t="s">
        <v>507</v>
      </c>
      <c r="X81" s="3" t="s">
        <v>33</v>
      </c>
      <c r="Y81" s="3"/>
      <c r="Z81" s="3">
        <v>4</v>
      </c>
      <c r="AA81" s="1">
        <v>50</v>
      </c>
      <c r="AB81" s="16" t="s">
        <v>1306</v>
      </c>
      <c r="AC81" s="3" t="s">
        <v>40</v>
      </c>
      <c r="AD81" s="3" t="s">
        <v>1362</v>
      </c>
      <c r="AE81" s="3" t="s">
        <v>30</v>
      </c>
      <c r="AF81" s="3" t="s">
        <v>30</v>
      </c>
      <c r="AG81" s="3" t="s">
        <v>33</v>
      </c>
      <c r="AH81" s="1" t="s">
        <v>33</v>
      </c>
      <c r="AI81" s="3" t="s">
        <v>33</v>
      </c>
      <c r="AJ81" s="3"/>
      <c r="AK81" s="3" t="s">
        <v>33</v>
      </c>
      <c r="AL81" s="3" t="s">
        <v>30</v>
      </c>
      <c r="AM81" s="3"/>
      <c r="AN81" s="3" t="s">
        <v>33</v>
      </c>
      <c r="AO81" s="4" t="s">
        <v>64</v>
      </c>
      <c r="AP81" s="3"/>
      <c r="BF81" s="29"/>
    </row>
    <row r="82" spans="1:58" ht="128" x14ac:dyDescent="0.2">
      <c r="A82" s="23">
        <v>124</v>
      </c>
      <c r="B82" s="3" t="s">
        <v>508</v>
      </c>
      <c r="C82" s="3" t="s">
        <v>509</v>
      </c>
      <c r="D82" s="3" t="s">
        <v>510</v>
      </c>
      <c r="E82" s="3" t="s">
        <v>290</v>
      </c>
      <c r="F82" s="1">
        <v>2022</v>
      </c>
      <c r="G82" s="16" t="s">
        <v>460</v>
      </c>
      <c r="H82" s="3" t="s">
        <v>30</v>
      </c>
      <c r="I82" s="3"/>
      <c r="J82" s="3">
        <v>20</v>
      </c>
      <c r="K82" s="3" t="s">
        <v>31</v>
      </c>
      <c r="L82" s="3" t="s">
        <v>511</v>
      </c>
      <c r="M82" s="3">
        <v>51</v>
      </c>
      <c r="N82" s="3" t="s">
        <v>31</v>
      </c>
      <c r="O82" s="3" t="s">
        <v>1154</v>
      </c>
      <c r="P82" s="3" t="s">
        <v>30</v>
      </c>
      <c r="Q82" s="3">
        <v>18</v>
      </c>
      <c r="R82" s="3" t="s">
        <v>1197</v>
      </c>
      <c r="S82" s="3" t="s">
        <v>31</v>
      </c>
      <c r="T82" s="1" t="s">
        <v>80</v>
      </c>
      <c r="U82" s="16" t="s">
        <v>512</v>
      </c>
      <c r="V82" s="3" t="s">
        <v>30</v>
      </c>
      <c r="W82" s="3" t="s">
        <v>513</v>
      </c>
      <c r="X82" s="3" t="s">
        <v>33</v>
      </c>
      <c r="Y82" s="3"/>
      <c r="Z82" s="3">
        <v>10</v>
      </c>
      <c r="AA82" s="1" t="s">
        <v>514</v>
      </c>
      <c r="AB82" s="16" t="s">
        <v>287</v>
      </c>
      <c r="AC82" s="4" t="s">
        <v>40</v>
      </c>
      <c r="AD82" s="3" t="s">
        <v>515</v>
      </c>
      <c r="AE82" s="3" t="s">
        <v>33</v>
      </c>
      <c r="AF82" s="3" t="s">
        <v>30</v>
      </c>
      <c r="AG82" s="3" t="s">
        <v>30</v>
      </c>
      <c r="AH82" s="1" t="s">
        <v>33</v>
      </c>
      <c r="AI82" s="3" t="s">
        <v>33</v>
      </c>
      <c r="AJ82" s="3"/>
      <c r="AK82" s="3" t="s">
        <v>33</v>
      </c>
      <c r="AL82" s="3" t="s">
        <v>30</v>
      </c>
      <c r="AM82" s="3"/>
      <c r="AN82" s="3" t="s">
        <v>33</v>
      </c>
      <c r="AO82" s="3" t="s">
        <v>1045</v>
      </c>
      <c r="AP82" s="3"/>
      <c r="BC82" s="29"/>
    </row>
    <row r="83" spans="1:58" ht="64" x14ac:dyDescent="0.2">
      <c r="A83" s="23">
        <v>65</v>
      </c>
      <c r="B83" s="3" t="s">
        <v>516</v>
      </c>
      <c r="C83" s="3" t="s">
        <v>517</v>
      </c>
      <c r="D83" s="3" t="s">
        <v>518</v>
      </c>
      <c r="E83" s="3" t="s">
        <v>316</v>
      </c>
      <c r="F83" s="1">
        <v>2021</v>
      </c>
      <c r="G83" s="16" t="s">
        <v>460</v>
      </c>
      <c r="H83" s="3" t="s">
        <v>30</v>
      </c>
      <c r="I83" s="3"/>
      <c r="J83" s="3">
        <v>20</v>
      </c>
      <c r="K83" s="3" t="s">
        <v>31</v>
      </c>
      <c r="L83" s="3" t="s">
        <v>519</v>
      </c>
      <c r="M83" s="3">
        <v>51</v>
      </c>
      <c r="N83" s="3" t="s">
        <v>31</v>
      </c>
      <c r="O83" s="3" t="s">
        <v>1154</v>
      </c>
      <c r="P83" s="3" t="s">
        <v>33</v>
      </c>
      <c r="Q83" s="3">
        <v>5</v>
      </c>
      <c r="R83" s="3" t="s">
        <v>1198</v>
      </c>
      <c r="S83" s="3" t="s">
        <v>31</v>
      </c>
      <c r="T83" s="1" t="s">
        <v>31</v>
      </c>
      <c r="U83" s="16" t="s">
        <v>520</v>
      </c>
      <c r="V83" s="3" t="s">
        <v>30</v>
      </c>
      <c r="W83" s="3" t="s">
        <v>31</v>
      </c>
      <c r="X83" s="3" t="s">
        <v>30</v>
      </c>
      <c r="Y83" s="3" t="s">
        <v>521</v>
      </c>
      <c r="Z83" s="3">
        <v>6</v>
      </c>
      <c r="AA83" s="1" t="s">
        <v>31</v>
      </c>
      <c r="AB83" s="16" t="s">
        <v>1319</v>
      </c>
      <c r="AC83" s="3" t="s">
        <v>522</v>
      </c>
      <c r="AD83" s="3" t="s">
        <v>1363</v>
      </c>
      <c r="AE83" s="3" t="s">
        <v>30</v>
      </c>
      <c r="AF83" s="3" t="s">
        <v>30</v>
      </c>
      <c r="AG83" s="3" t="s">
        <v>33</v>
      </c>
      <c r="AH83" s="1" t="s">
        <v>33</v>
      </c>
      <c r="AI83" s="3" t="s">
        <v>33</v>
      </c>
      <c r="AJ83" s="3"/>
      <c r="AK83" s="3" t="s">
        <v>33</v>
      </c>
      <c r="AL83" s="3" t="s">
        <v>33</v>
      </c>
      <c r="AM83" s="3" t="s">
        <v>1035</v>
      </c>
      <c r="AN83" s="3" t="s">
        <v>33</v>
      </c>
      <c r="AO83" s="3" t="s">
        <v>64</v>
      </c>
      <c r="AP83" s="3"/>
    </row>
    <row r="84" spans="1:58" ht="128" x14ac:dyDescent="0.2">
      <c r="A84" s="23">
        <v>52</v>
      </c>
      <c r="B84" s="3" t="s">
        <v>523</v>
      </c>
      <c r="C84" s="3" t="s">
        <v>524</v>
      </c>
      <c r="D84" s="24" t="s">
        <v>525</v>
      </c>
      <c r="E84" s="3" t="s">
        <v>70</v>
      </c>
      <c r="F84" s="1">
        <v>2024</v>
      </c>
      <c r="G84" s="16" t="s">
        <v>460</v>
      </c>
      <c r="H84" s="3" t="s">
        <v>30</v>
      </c>
      <c r="I84" s="3"/>
      <c r="J84" s="3">
        <v>20</v>
      </c>
      <c r="K84" s="3" t="s">
        <v>31</v>
      </c>
      <c r="L84" s="3" t="s">
        <v>31</v>
      </c>
      <c r="M84" s="3">
        <v>36</v>
      </c>
      <c r="N84" s="3" t="s">
        <v>31</v>
      </c>
      <c r="O84" s="3" t="s">
        <v>1154</v>
      </c>
      <c r="P84" s="3" t="s">
        <v>31</v>
      </c>
      <c r="Q84" s="3">
        <v>3</v>
      </c>
      <c r="R84" s="3" t="s">
        <v>526</v>
      </c>
      <c r="S84" s="3" t="s">
        <v>1424</v>
      </c>
      <c r="T84" s="1" t="s">
        <v>31</v>
      </c>
      <c r="U84" s="16" t="s">
        <v>527</v>
      </c>
      <c r="V84" s="3" t="s">
        <v>33</v>
      </c>
      <c r="W84" s="3" t="s">
        <v>31</v>
      </c>
      <c r="X84" s="3" t="s">
        <v>30</v>
      </c>
      <c r="Y84" s="3" t="s">
        <v>1251</v>
      </c>
      <c r="Z84" s="3">
        <v>2</v>
      </c>
      <c r="AA84" s="1" t="s">
        <v>31</v>
      </c>
      <c r="AB84" s="16" t="s">
        <v>74</v>
      </c>
      <c r="AC84" s="3" t="s">
        <v>528</v>
      </c>
      <c r="AD84" s="3" t="s">
        <v>208</v>
      </c>
      <c r="AE84" s="3" t="s">
        <v>30</v>
      </c>
      <c r="AF84" s="3" t="s">
        <v>33</v>
      </c>
      <c r="AG84" s="3" t="s">
        <v>33</v>
      </c>
      <c r="AH84" s="1" t="s">
        <v>33</v>
      </c>
      <c r="AI84" s="3" t="s">
        <v>33</v>
      </c>
      <c r="AJ84" s="3"/>
      <c r="AK84" s="3" t="s">
        <v>33</v>
      </c>
      <c r="AL84" s="3" t="s">
        <v>33</v>
      </c>
      <c r="AM84" s="3" t="s">
        <v>1037</v>
      </c>
      <c r="AN84" s="3" t="s">
        <v>33</v>
      </c>
      <c r="AO84" s="3" t="s">
        <v>64</v>
      </c>
      <c r="AP84" s="3"/>
    </row>
    <row r="85" spans="1:58" ht="128" x14ac:dyDescent="0.2">
      <c r="A85" s="23">
        <v>73</v>
      </c>
      <c r="B85" s="3" t="s">
        <v>529</v>
      </c>
      <c r="C85" s="3" t="s">
        <v>530</v>
      </c>
      <c r="D85" s="3" t="s">
        <v>531</v>
      </c>
      <c r="E85" s="3" t="s">
        <v>70</v>
      </c>
      <c r="F85" s="1">
        <v>2022</v>
      </c>
      <c r="G85" s="16" t="s">
        <v>460</v>
      </c>
      <c r="H85" s="3" t="s">
        <v>30</v>
      </c>
      <c r="I85" s="3"/>
      <c r="J85" s="3">
        <v>20</v>
      </c>
      <c r="K85" s="3" t="s">
        <v>31</v>
      </c>
      <c r="L85" s="3" t="s">
        <v>31</v>
      </c>
      <c r="M85" s="3">
        <v>51</v>
      </c>
      <c r="N85" s="3" t="s">
        <v>1103</v>
      </c>
      <c r="O85" s="3" t="s">
        <v>1154</v>
      </c>
      <c r="P85" s="3" t="s">
        <v>30</v>
      </c>
      <c r="Q85" s="3" t="s">
        <v>1164</v>
      </c>
      <c r="R85" s="3" t="s">
        <v>532</v>
      </c>
      <c r="S85" s="3" t="s">
        <v>1199</v>
      </c>
      <c r="T85" s="1" t="s">
        <v>80</v>
      </c>
      <c r="U85" s="16" t="s">
        <v>533</v>
      </c>
      <c r="V85" s="3" t="s">
        <v>30</v>
      </c>
      <c r="W85" s="3" t="s">
        <v>31</v>
      </c>
      <c r="X85" s="3" t="s">
        <v>30</v>
      </c>
      <c r="Y85" s="3" t="s">
        <v>1252</v>
      </c>
      <c r="Z85" s="3">
        <v>10</v>
      </c>
      <c r="AA85" s="1">
        <v>0</v>
      </c>
      <c r="AB85" s="16" t="s">
        <v>39</v>
      </c>
      <c r="AC85" s="3" t="s">
        <v>1335</v>
      </c>
      <c r="AD85" s="3" t="s">
        <v>62</v>
      </c>
      <c r="AE85" s="3" t="s">
        <v>30</v>
      </c>
      <c r="AF85" s="3" t="s">
        <v>30</v>
      </c>
      <c r="AG85" s="3" t="s">
        <v>30</v>
      </c>
      <c r="AH85" s="1" t="s">
        <v>33</v>
      </c>
      <c r="AI85" s="3" t="s">
        <v>33</v>
      </c>
      <c r="AJ85" s="3"/>
      <c r="AK85" s="3" t="s">
        <v>33</v>
      </c>
      <c r="AL85" s="3" t="s">
        <v>33</v>
      </c>
      <c r="AM85" s="3" t="s">
        <v>1035</v>
      </c>
      <c r="AN85" s="3" t="s">
        <v>33</v>
      </c>
      <c r="AO85" s="3" t="s">
        <v>1053</v>
      </c>
      <c r="AP85" s="3"/>
    </row>
    <row r="86" spans="1:58" ht="112" x14ac:dyDescent="0.2">
      <c r="A86" s="23">
        <v>121</v>
      </c>
      <c r="B86" s="3" t="s">
        <v>534</v>
      </c>
      <c r="C86" s="24" t="s">
        <v>535</v>
      </c>
      <c r="D86" s="3" t="s">
        <v>536</v>
      </c>
      <c r="E86" s="3" t="s">
        <v>45</v>
      </c>
      <c r="F86" s="1">
        <v>2020</v>
      </c>
      <c r="G86" s="16" t="s">
        <v>460</v>
      </c>
      <c r="H86" s="3" t="s">
        <v>30</v>
      </c>
      <c r="I86" s="3"/>
      <c r="J86" s="3">
        <v>20</v>
      </c>
      <c r="K86" s="3" t="s">
        <v>31</v>
      </c>
      <c r="L86" s="3" t="s">
        <v>31</v>
      </c>
      <c r="M86" s="3">
        <v>51</v>
      </c>
      <c r="N86" s="3" t="s">
        <v>31</v>
      </c>
      <c r="O86" s="3" t="s">
        <v>1154</v>
      </c>
      <c r="P86" s="3" t="s">
        <v>30</v>
      </c>
      <c r="Q86" s="3">
        <v>8</v>
      </c>
      <c r="R86" s="3" t="s">
        <v>537</v>
      </c>
      <c r="S86" s="3" t="s">
        <v>31</v>
      </c>
      <c r="T86" s="1" t="s">
        <v>31</v>
      </c>
      <c r="U86" s="16" t="s">
        <v>538</v>
      </c>
      <c r="V86" s="3" t="s">
        <v>30</v>
      </c>
      <c r="W86" s="3" t="s">
        <v>539</v>
      </c>
      <c r="X86" s="3" t="s">
        <v>33</v>
      </c>
      <c r="Y86" s="3" t="s">
        <v>33</v>
      </c>
      <c r="Z86" s="3" t="s">
        <v>540</v>
      </c>
      <c r="AA86" s="1">
        <v>50</v>
      </c>
      <c r="AB86" s="16" t="s">
        <v>31</v>
      </c>
      <c r="AC86" s="4" t="s">
        <v>40</v>
      </c>
      <c r="AD86" s="3" t="s">
        <v>541</v>
      </c>
      <c r="AE86" s="3" t="s">
        <v>30</v>
      </c>
      <c r="AF86" s="3" t="s">
        <v>33</v>
      </c>
      <c r="AG86" s="3" t="s">
        <v>30</v>
      </c>
      <c r="AH86" s="1" t="s">
        <v>33</v>
      </c>
      <c r="AI86" s="3" t="s">
        <v>33</v>
      </c>
      <c r="AJ86" s="3"/>
      <c r="AK86" s="3" t="s">
        <v>33</v>
      </c>
      <c r="AL86" s="3" t="s">
        <v>30</v>
      </c>
      <c r="AM86" s="3"/>
      <c r="AN86" s="3" t="s">
        <v>33</v>
      </c>
      <c r="AO86" s="3" t="s">
        <v>64</v>
      </c>
      <c r="AP86" s="3"/>
    </row>
    <row r="87" spans="1:58" ht="80" x14ac:dyDescent="0.2">
      <c r="A87" s="23">
        <v>66</v>
      </c>
      <c r="B87" s="3" t="s">
        <v>542</v>
      </c>
      <c r="C87" s="3" t="s">
        <v>543</v>
      </c>
      <c r="D87" s="3" t="s">
        <v>544</v>
      </c>
      <c r="E87" s="3" t="s">
        <v>117</v>
      </c>
      <c r="F87" s="1">
        <v>2019</v>
      </c>
      <c r="G87" s="16" t="s">
        <v>333</v>
      </c>
      <c r="H87" s="3" t="s">
        <v>31</v>
      </c>
      <c r="I87" s="3"/>
      <c r="J87" s="3">
        <v>238</v>
      </c>
      <c r="K87" s="3">
        <v>8</v>
      </c>
      <c r="L87" s="3" t="s">
        <v>545</v>
      </c>
      <c r="M87" s="3">
        <v>10</v>
      </c>
      <c r="N87" s="3" t="s">
        <v>1104</v>
      </c>
      <c r="O87" s="3" t="s">
        <v>1154</v>
      </c>
      <c r="P87" s="3" t="s">
        <v>33</v>
      </c>
      <c r="Q87" s="3">
        <v>5</v>
      </c>
      <c r="R87" s="3" t="s">
        <v>546</v>
      </c>
      <c r="S87" s="3" t="s">
        <v>547</v>
      </c>
      <c r="T87" s="1" t="s">
        <v>31</v>
      </c>
      <c r="U87" s="16" t="s">
        <v>548</v>
      </c>
      <c r="V87" s="3" t="s">
        <v>30</v>
      </c>
      <c r="W87" s="3" t="s">
        <v>31</v>
      </c>
      <c r="X87" s="3" t="s">
        <v>30</v>
      </c>
      <c r="Y87" s="3" t="s">
        <v>1253</v>
      </c>
      <c r="Z87" s="3">
        <v>5</v>
      </c>
      <c r="AA87" s="1">
        <v>40</v>
      </c>
      <c r="AB87" s="16" t="s">
        <v>74</v>
      </c>
      <c r="AC87" s="3" t="s">
        <v>40</v>
      </c>
      <c r="AD87" s="3" t="s">
        <v>37</v>
      </c>
      <c r="AE87" s="3" t="s">
        <v>30</v>
      </c>
      <c r="AF87" s="3" t="s">
        <v>33</v>
      </c>
      <c r="AG87" s="3" t="s">
        <v>33</v>
      </c>
      <c r="AH87" s="1" t="s">
        <v>33</v>
      </c>
      <c r="AI87" s="3" t="s">
        <v>33</v>
      </c>
      <c r="AJ87" s="3"/>
      <c r="AK87" s="3" t="s">
        <v>33</v>
      </c>
      <c r="AL87" s="3" t="s">
        <v>33</v>
      </c>
      <c r="AM87" s="3" t="s">
        <v>1035</v>
      </c>
      <c r="AN87" s="3" t="s">
        <v>33</v>
      </c>
      <c r="AO87" s="3" t="s">
        <v>1046</v>
      </c>
      <c r="AP87" s="3"/>
    </row>
    <row r="88" spans="1:58" ht="80" x14ac:dyDescent="0.2">
      <c r="A88" s="23">
        <v>94</v>
      </c>
      <c r="B88" s="3" t="s">
        <v>549</v>
      </c>
      <c r="C88" s="3" t="s">
        <v>543</v>
      </c>
      <c r="D88" s="3" t="s">
        <v>550</v>
      </c>
      <c r="E88" s="3" t="s">
        <v>181</v>
      </c>
      <c r="F88" s="1">
        <v>2020</v>
      </c>
      <c r="G88" s="16" t="s">
        <v>333</v>
      </c>
      <c r="H88" s="3" t="s">
        <v>31</v>
      </c>
      <c r="I88" s="3"/>
      <c r="J88" s="3">
        <v>238</v>
      </c>
      <c r="K88" s="3">
        <v>8</v>
      </c>
      <c r="L88" s="3" t="s">
        <v>551</v>
      </c>
      <c r="M88" s="3">
        <v>9</v>
      </c>
      <c r="N88" s="3" t="s">
        <v>1105</v>
      </c>
      <c r="O88" s="3" t="s">
        <v>31</v>
      </c>
      <c r="P88" s="3" t="s">
        <v>33</v>
      </c>
      <c r="Q88" s="3">
        <v>4</v>
      </c>
      <c r="R88" s="3" t="s">
        <v>552</v>
      </c>
      <c r="S88" s="3" t="s">
        <v>553</v>
      </c>
      <c r="T88" s="1" t="s">
        <v>31</v>
      </c>
      <c r="U88" s="16" t="s">
        <v>554</v>
      </c>
      <c r="V88" s="3" t="s">
        <v>30</v>
      </c>
      <c r="W88" s="3" t="s">
        <v>31</v>
      </c>
      <c r="X88" s="3" t="s">
        <v>30</v>
      </c>
      <c r="Y88" s="3" t="s">
        <v>1254</v>
      </c>
      <c r="Z88" s="3">
        <v>3</v>
      </c>
      <c r="AA88" s="1">
        <v>66</v>
      </c>
      <c r="AB88" s="16" t="s">
        <v>555</v>
      </c>
      <c r="AC88" s="3" t="s">
        <v>40</v>
      </c>
      <c r="AD88" s="3" t="s">
        <v>62</v>
      </c>
      <c r="AE88" s="3" t="s">
        <v>30</v>
      </c>
      <c r="AF88" s="3" t="s">
        <v>33</v>
      </c>
      <c r="AG88" s="3" t="s">
        <v>33</v>
      </c>
      <c r="AH88" s="1" t="s">
        <v>33</v>
      </c>
      <c r="AI88" s="3" t="s">
        <v>33</v>
      </c>
      <c r="AJ88" s="3"/>
      <c r="AK88" s="3" t="s">
        <v>33</v>
      </c>
      <c r="AL88" s="3" t="s">
        <v>30</v>
      </c>
      <c r="AM88" s="3"/>
      <c r="AN88" s="3" t="s">
        <v>33</v>
      </c>
      <c r="AO88" s="3" t="s">
        <v>1046</v>
      </c>
      <c r="AP88" s="3"/>
    </row>
    <row r="89" spans="1:58" ht="80" x14ac:dyDescent="0.2">
      <c r="A89" s="23">
        <v>134</v>
      </c>
      <c r="B89" s="3" t="s">
        <v>556</v>
      </c>
      <c r="C89" s="3" t="s">
        <v>557</v>
      </c>
      <c r="D89" s="3" t="s">
        <v>558</v>
      </c>
      <c r="E89" s="3" t="s">
        <v>160</v>
      </c>
      <c r="F89" s="1">
        <v>2018</v>
      </c>
      <c r="G89" s="16" t="s">
        <v>559</v>
      </c>
      <c r="H89" s="3" t="s">
        <v>31</v>
      </c>
      <c r="I89" s="3" t="s">
        <v>1064</v>
      </c>
      <c r="J89" s="3">
        <v>30</v>
      </c>
      <c r="K89" s="3">
        <v>6</v>
      </c>
      <c r="L89" s="3" t="s">
        <v>382</v>
      </c>
      <c r="M89" s="3">
        <v>22</v>
      </c>
      <c r="N89" s="3" t="s">
        <v>1095</v>
      </c>
      <c r="O89" s="3" t="s">
        <v>1154</v>
      </c>
      <c r="P89" s="3" t="s">
        <v>31</v>
      </c>
      <c r="Q89" s="3" t="s">
        <v>1165</v>
      </c>
      <c r="R89" s="3" t="s">
        <v>561</v>
      </c>
      <c r="S89" s="30" t="s">
        <v>562</v>
      </c>
      <c r="T89" s="1" t="s">
        <v>31</v>
      </c>
      <c r="U89" s="16" t="s">
        <v>563</v>
      </c>
      <c r="V89" s="3" t="s">
        <v>30</v>
      </c>
      <c r="W89" s="3" t="s">
        <v>49</v>
      </c>
      <c r="X89" s="3" t="s">
        <v>30</v>
      </c>
      <c r="Y89" s="3" t="s">
        <v>1255</v>
      </c>
      <c r="Z89" s="3">
        <v>10</v>
      </c>
      <c r="AA89" s="1">
        <v>0</v>
      </c>
      <c r="AB89" s="16" t="s">
        <v>39</v>
      </c>
      <c r="AC89" s="3" t="s">
        <v>300</v>
      </c>
      <c r="AD89" s="3" t="s">
        <v>1355</v>
      </c>
      <c r="AE89" s="3" t="s">
        <v>30</v>
      </c>
      <c r="AF89" s="3" t="s">
        <v>346</v>
      </c>
      <c r="AG89" s="3" t="s">
        <v>33</v>
      </c>
      <c r="AH89" s="1" t="s">
        <v>33</v>
      </c>
      <c r="AI89" s="3" t="s">
        <v>33</v>
      </c>
      <c r="AJ89" s="3"/>
      <c r="AK89" s="3" t="s">
        <v>33</v>
      </c>
      <c r="AL89" s="3" t="s">
        <v>30</v>
      </c>
      <c r="AM89" s="3"/>
      <c r="AN89" s="3" t="s">
        <v>33</v>
      </c>
      <c r="AO89" s="3" t="s">
        <v>1046</v>
      </c>
      <c r="AP89" s="3"/>
    </row>
    <row r="90" spans="1:58" ht="112" x14ac:dyDescent="0.2">
      <c r="A90" s="23">
        <v>138</v>
      </c>
      <c r="B90" s="3" t="s">
        <v>564</v>
      </c>
      <c r="C90" s="3" t="s">
        <v>557</v>
      </c>
      <c r="D90" s="3" t="s">
        <v>565</v>
      </c>
      <c r="E90" s="3" t="s">
        <v>566</v>
      </c>
      <c r="F90" s="1">
        <v>2020</v>
      </c>
      <c r="G90" s="16" t="s">
        <v>559</v>
      </c>
      <c r="H90" s="3" t="s">
        <v>31</v>
      </c>
      <c r="I90" s="3" t="s">
        <v>1064</v>
      </c>
      <c r="J90" s="3">
        <v>100</v>
      </c>
      <c r="K90" s="3">
        <v>6</v>
      </c>
      <c r="L90" s="3" t="s">
        <v>567</v>
      </c>
      <c r="M90" s="3">
        <v>31</v>
      </c>
      <c r="N90" s="3" t="s">
        <v>1106</v>
      </c>
      <c r="O90" s="3" t="s">
        <v>1157</v>
      </c>
      <c r="P90" s="3" t="s">
        <v>33</v>
      </c>
      <c r="Q90" s="3" t="s">
        <v>568</v>
      </c>
      <c r="R90" s="3" t="s">
        <v>569</v>
      </c>
      <c r="S90" s="3" t="s">
        <v>37</v>
      </c>
      <c r="T90" s="1" t="s">
        <v>122</v>
      </c>
      <c r="U90" s="16" t="s">
        <v>570</v>
      </c>
      <c r="V90" s="3" t="s">
        <v>30</v>
      </c>
      <c r="W90" s="3" t="s">
        <v>31</v>
      </c>
      <c r="X90" s="3" t="s">
        <v>30</v>
      </c>
      <c r="Y90" s="3" t="s">
        <v>1256</v>
      </c>
      <c r="Z90" s="3">
        <v>15</v>
      </c>
      <c r="AA90" s="1">
        <v>0</v>
      </c>
      <c r="AB90" s="16" t="s">
        <v>31</v>
      </c>
      <c r="AC90" s="4" t="s">
        <v>40</v>
      </c>
      <c r="AD90" s="3" t="s">
        <v>1364</v>
      </c>
      <c r="AE90" s="3" t="s">
        <v>30</v>
      </c>
      <c r="AF90" s="3" t="s">
        <v>30</v>
      </c>
      <c r="AG90" s="3" t="s">
        <v>33</v>
      </c>
      <c r="AH90" s="1" t="s">
        <v>33</v>
      </c>
      <c r="AI90" s="3" t="s">
        <v>33</v>
      </c>
      <c r="AJ90" s="3"/>
      <c r="AK90" s="3" t="s">
        <v>33</v>
      </c>
      <c r="AL90" s="3" t="s">
        <v>33</v>
      </c>
      <c r="AM90" s="3" t="s">
        <v>1035</v>
      </c>
      <c r="AN90" s="3" t="s">
        <v>33</v>
      </c>
      <c r="AO90" s="3" t="s">
        <v>1046</v>
      </c>
      <c r="AP90" s="3"/>
    </row>
    <row r="91" spans="1:58" ht="224" x14ac:dyDescent="0.2">
      <c r="A91" s="23">
        <v>12</v>
      </c>
      <c r="B91" s="3" t="s">
        <v>571</v>
      </c>
      <c r="C91" s="3" t="s">
        <v>572</v>
      </c>
      <c r="D91" s="24" t="s">
        <v>573</v>
      </c>
      <c r="E91" s="3" t="s">
        <v>70</v>
      </c>
      <c r="F91" s="1">
        <v>2020</v>
      </c>
      <c r="G91" s="16" t="s">
        <v>333</v>
      </c>
      <c r="H91" s="3" t="s">
        <v>30</v>
      </c>
      <c r="I91" s="3"/>
      <c r="J91" s="3">
        <v>30</v>
      </c>
      <c r="K91" s="3" t="s">
        <v>31</v>
      </c>
      <c r="L91" s="3" t="s">
        <v>567</v>
      </c>
      <c r="M91" s="3">
        <v>38</v>
      </c>
      <c r="N91" s="3" t="s">
        <v>1107</v>
      </c>
      <c r="O91" s="3" t="s">
        <v>1154</v>
      </c>
      <c r="P91" s="3" t="s">
        <v>30</v>
      </c>
      <c r="Q91" s="3">
        <v>3</v>
      </c>
      <c r="R91" s="3" t="s">
        <v>1200</v>
      </c>
      <c r="S91" s="3" t="s">
        <v>574</v>
      </c>
      <c r="T91" s="1" t="s">
        <v>31</v>
      </c>
      <c r="U91" s="16" t="s">
        <v>123</v>
      </c>
      <c r="V91" s="3" t="s">
        <v>33</v>
      </c>
      <c r="W91" s="3" t="s">
        <v>49</v>
      </c>
      <c r="X91" s="3" t="s">
        <v>30</v>
      </c>
      <c r="Y91" s="3" t="s">
        <v>1257</v>
      </c>
      <c r="Z91" s="3">
        <v>10</v>
      </c>
      <c r="AA91" s="1">
        <v>0</v>
      </c>
      <c r="AB91" s="16" t="s">
        <v>39</v>
      </c>
      <c r="AC91" s="3" t="s">
        <v>40</v>
      </c>
      <c r="AD91" s="3" t="s">
        <v>1365</v>
      </c>
      <c r="AE91" s="3" t="s">
        <v>30</v>
      </c>
      <c r="AF91" s="3" t="s">
        <v>30</v>
      </c>
      <c r="AG91" s="3" t="s">
        <v>33</v>
      </c>
      <c r="AH91" s="1" t="s">
        <v>33</v>
      </c>
      <c r="AI91" s="3" t="s">
        <v>30</v>
      </c>
      <c r="AJ91" s="24" t="s">
        <v>1404</v>
      </c>
      <c r="AK91" s="3" t="s">
        <v>30</v>
      </c>
      <c r="AL91" s="3" t="s">
        <v>30</v>
      </c>
      <c r="AM91" s="3"/>
      <c r="AN91" s="3" t="s">
        <v>30</v>
      </c>
      <c r="AO91" s="3"/>
      <c r="AP91" s="3"/>
    </row>
    <row r="92" spans="1:58" ht="272" x14ac:dyDescent="0.2">
      <c r="A92" s="23">
        <v>1</v>
      </c>
      <c r="B92" s="3" t="s">
        <v>575</v>
      </c>
      <c r="C92" s="3" t="s">
        <v>576</v>
      </c>
      <c r="D92" s="24" t="s">
        <v>577</v>
      </c>
      <c r="E92" s="3" t="s">
        <v>578</v>
      </c>
      <c r="F92" s="1">
        <v>2020</v>
      </c>
      <c r="G92" s="16" t="s">
        <v>333</v>
      </c>
      <c r="H92" s="3" t="s">
        <v>30</v>
      </c>
      <c r="I92" s="3"/>
      <c r="J92" s="4">
        <v>100</v>
      </c>
      <c r="K92" s="4">
        <v>6</v>
      </c>
      <c r="L92" s="4" t="s">
        <v>567</v>
      </c>
      <c r="M92" s="4">
        <v>31</v>
      </c>
      <c r="N92" s="4" t="s">
        <v>1108</v>
      </c>
      <c r="O92" s="4" t="s">
        <v>1158</v>
      </c>
      <c r="P92" s="4" t="s">
        <v>31</v>
      </c>
      <c r="Q92" s="4">
        <v>5</v>
      </c>
      <c r="R92" s="4" t="s">
        <v>1201</v>
      </c>
      <c r="S92" s="4" t="s">
        <v>1095</v>
      </c>
      <c r="T92" s="2" t="s">
        <v>122</v>
      </c>
      <c r="U92" s="36" t="s">
        <v>123</v>
      </c>
      <c r="V92" s="4" t="s">
        <v>33</v>
      </c>
      <c r="W92" s="4" t="s">
        <v>579</v>
      </c>
      <c r="X92" s="4" t="s">
        <v>30</v>
      </c>
      <c r="Y92" s="4" t="s">
        <v>1258</v>
      </c>
      <c r="Z92" s="4" t="s">
        <v>580</v>
      </c>
      <c r="AA92" s="2">
        <v>0</v>
      </c>
      <c r="AB92" s="36" t="s">
        <v>39</v>
      </c>
      <c r="AC92" s="4" t="s">
        <v>102</v>
      </c>
      <c r="AD92" s="4" t="s">
        <v>62</v>
      </c>
      <c r="AE92" s="4" t="s">
        <v>30</v>
      </c>
      <c r="AF92" s="4" t="s">
        <v>30</v>
      </c>
      <c r="AG92" s="4" t="s">
        <v>33</v>
      </c>
      <c r="AH92" s="2" t="s">
        <v>33</v>
      </c>
      <c r="AI92" s="4" t="s">
        <v>30</v>
      </c>
      <c r="AJ92" s="24" t="s">
        <v>581</v>
      </c>
      <c r="AK92" s="4" t="s">
        <v>30</v>
      </c>
      <c r="AL92" s="4" t="s">
        <v>30</v>
      </c>
      <c r="AM92" s="3"/>
      <c r="AN92" s="3" t="s">
        <v>30</v>
      </c>
      <c r="AO92" s="3"/>
      <c r="AP92" s="3"/>
    </row>
    <row r="93" spans="1:58" ht="240" x14ac:dyDescent="0.2">
      <c r="A93" s="23">
        <v>23</v>
      </c>
      <c r="B93" s="3" t="s">
        <v>582</v>
      </c>
      <c r="C93" s="3" t="s">
        <v>583</v>
      </c>
      <c r="D93" s="24" t="s">
        <v>584</v>
      </c>
      <c r="E93" s="3" t="s">
        <v>316</v>
      </c>
      <c r="F93" s="1">
        <v>2016</v>
      </c>
      <c r="G93" s="16" t="s">
        <v>333</v>
      </c>
      <c r="H93" s="3" t="s">
        <v>31</v>
      </c>
      <c r="I93" s="3"/>
      <c r="J93" s="3">
        <v>512</v>
      </c>
      <c r="K93" s="3">
        <v>16</v>
      </c>
      <c r="L93" s="3" t="s">
        <v>585</v>
      </c>
      <c r="M93" s="3">
        <v>25</v>
      </c>
      <c r="N93" s="3" t="s">
        <v>1109</v>
      </c>
      <c r="O93" s="3" t="s">
        <v>1154</v>
      </c>
      <c r="P93" s="3" t="s">
        <v>33</v>
      </c>
      <c r="Q93" s="3" t="s">
        <v>1166</v>
      </c>
      <c r="R93" s="3" t="s">
        <v>586</v>
      </c>
      <c r="S93" s="3" t="s">
        <v>587</v>
      </c>
      <c r="T93" s="1" t="s">
        <v>588</v>
      </c>
      <c r="U93" s="16" t="s">
        <v>589</v>
      </c>
      <c r="V93" s="3" t="s">
        <v>33</v>
      </c>
      <c r="W93" s="3" t="s">
        <v>590</v>
      </c>
      <c r="X93" s="3" t="s">
        <v>30</v>
      </c>
      <c r="Y93" s="3" t="s">
        <v>1259</v>
      </c>
      <c r="Z93" s="3" t="s">
        <v>591</v>
      </c>
      <c r="AA93" s="1">
        <v>0</v>
      </c>
      <c r="AB93" s="16" t="s">
        <v>39</v>
      </c>
      <c r="AC93" s="3" t="s">
        <v>592</v>
      </c>
      <c r="AD93" s="3" t="s">
        <v>1366</v>
      </c>
      <c r="AE93" s="3" t="s">
        <v>30</v>
      </c>
      <c r="AF93" s="3" t="s">
        <v>33</v>
      </c>
      <c r="AG93" s="3" t="s">
        <v>33</v>
      </c>
      <c r="AH93" s="1" t="s">
        <v>33</v>
      </c>
      <c r="AI93" s="3" t="s">
        <v>33</v>
      </c>
      <c r="AJ93" s="3"/>
      <c r="AK93" s="3" t="s">
        <v>33</v>
      </c>
      <c r="AL93" s="3" t="s">
        <v>33</v>
      </c>
      <c r="AM93" s="3" t="s">
        <v>1037</v>
      </c>
      <c r="AN93" s="3" t="s">
        <v>33</v>
      </c>
      <c r="AO93" s="3" t="s">
        <v>1046</v>
      </c>
      <c r="AP93" s="3"/>
    </row>
    <row r="94" spans="1:58" ht="272" x14ac:dyDescent="0.2">
      <c r="A94" s="23">
        <v>80</v>
      </c>
      <c r="B94" s="3" t="s">
        <v>593</v>
      </c>
      <c r="C94" s="3" t="s">
        <v>594</v>
      </c>
      <c r="D94" s="3" t="s">
        <v>595</v>
      </c>
      <c r="E94" s="3" t="s">
        <v>107</v>
      </c>
      <c r="F94" s="1">
        <v>2014</v>
      </c>
      <c r="G94" s="16" t="s">
        <v>333</v>
      </c>
      <c r="H94" s="3" t="s">
        <v>31</v>
      </c>
      <c r="I94" s="3"/>
      <c r="J94" s="3">
        <v>64</v>
      </c>
      <c r="K94" s="3" t="s">
        <v>31</v>
      </c>
      <c r="L94" s="3" t="s">
        <v>596</v>
      </c>
      <c r="M94" s="3">
        <v>15</v>
      </c>
      <c r="N94" s="3" t="s">
        <v>1110</v>
      </c>
      <c r="O94" s="3" t="s">
        <v>1154</v>
      </c>
      <c r="P94" s="3" t="s">
        <v>33</v>
      </c>
      <c r="Q94" s="3">
        <v>2</v>
      </c>
      <c r="R94" s="3" t="s">
        <v>1202</v>
      </c>
      <c r="S94" s="3" t="s">
        <v>597</v>
      </c>
      <c r="T94" s="1" t="s">
        <v>80</v>
      </c>
      <c r="U94" s="16" t="s">
        <v>1223</v>
      </c>
      <c r="V94" s="3" t="s">
        <v>33</v>
      </c>
      <c r="W94" s="3" t="s">
        <v>31</v>
      </c>
      <c r="X94" s="3" t="s">
        <v>30</v>
      </c>
      <c r="Y94" s="3" t="s">
        <v>1260</v>
      </c>
      <c r="Z94" s="3">
        <v>4</v>
      </c>
      <c r="AA94" s="1" t="s">
        <v>31</v>
      </c>
      <c r="AB94" s="16" t="s">
        <v>39</v>
      </c>
      <c r="AC94" s="3" t="s">
        <v>40</v>
      </c>
      <c r="AD94" s="3" t="s">
        <v>1345</v>
      </c>
      <c r="AE94" s="3" t="s">
        <v>30</v>
      </c>
      <c r="AF94" s="3" t="s">
        <v>30</v>
      </c>
      <c r="AG94" s="3" t="s">
        <v>33</v>
      </c>
      <c r="AH94" s="1" t="s">
        <v>33</v>
      </c>
      <c r="AI94" s="3" t="s">
        <v>33</v>
      </c>
      <c r="AJ94" s="3"/>
      <c r="AK94" s="3" t="s">
        <v>33</v>
      </c>
      <c r="AL94" s="3" t="s">
        <v>33</v>
      </c>
      <c r="AM94" s="3" t="s">
        <v>1047</v>
      </c>
      <c r="AN94" s="3" t="s">
        <v>33</v>
      </c>
      <c r="AO94" s="3" t="s">
        <v>1046</v>
      </c>
      <c r="AP94" s="3"/>
    </row>
    <row r="95" spans="1:58" ht="48" x14ac:dyDescent="0.2">
      <c r="A95" s="23">
        <v>96</v>
      </c>
      <c r="B95" s="3" t="s">
        <v>598</v>
      </c>
      <c r="C95" s="3" t="s">
        <v>599</v>
      </c>
      <c r="D95" s="3" t="s">
        <v>600</v>
      </c>
      <c r="E95" s="3" t="s">
        <v>181</v>
      </c>
      <c r="F95" s="1">
        <v>2010</v>
      </c>
      <c r="G95" s="16" t="s">
        <v>333</v>
      </c>
      <c r="H95" s="3" t="s">
        <v>31</v>
      </c>
      <c r="I95" s="3"/>
      <c r="J95" s="3">
        <v>50</v>
      </c>
      <c r="K95" s="3" t="s">
        <v>31</v>
      </c>
      <c r="L95" s="3" t="s">
        <v>31</v>
      </c>
      <c r="M95" s="3">
        <v>11</v>
      </c>
      <c r="N95" s="3" t="s">
        <v>1111</v>
      </c>
      <c r="O95" s="3" t="s">
        <v>1154</v>
      </c>
      <c r="P95" s="3" t="s">
        <v>30</v>
      </c>
      <c r="Q95" s="3">
        <v>5</v>
      </c>
      <c r="R95" s="3" t="s">
        <v>601</v>
      </c>
      <c r="S95" s="3" t="s">
        <v>62</v>
      </c>
      <c r="T95" s="1" t="s">
        <v>49</v>
      </c>
      <c r="U95" s="16" t="s">
        <v>602</v>
      </c>
      <c r="V95" s="3" t="s">
        <v>30</v>
      </c>
      <c r="W95" s="3" t="s">
        <v>31</v>
      </c>
      <c r="X95" s="3" t="s">
        <v>30</v>
      </c>
      <c r="Y95" s="3" t="s">
        <v>1261</v>
      </c>
      <c r="Z95" s="3">
        <v>5</v>
      </c>
      <c r="AA95" s="1">
        <v>0</v>
      </c>
      <c r="AB95" s="16" t="s">
        <v>39</v>
      </c>
      <c r="AC95" s="3" t="s">
        <v>603</v>
      </c>
      <c r="AD95" s="3" t="s">
        <v>1360</v>
      </c>
      <c r="AE95" s="3" t="s">
        <v>30</v>
      </c>
      <c r="AF95" s="3" t="s">
        <v>30</v>
      </c>
      <c r="AG95" s="3" t="s">
        <v>33</v>
      </c>
      <c r="AH95" s="1" t="s">
        <v>33</v>
      </c>
      <c r="AI95" s="3" t="s">
        <v>33</v>
      </c>
      <c r="AJ95" s="3"/>
      <c r="AK95" s="3" t="s">
        <v>33</v>
      </c>
      <c r="AL95" s="3" t="s">
        <v>30</v>
      </c>
      <c r="AM95" s="3"/>
      <c r="AN95" s="3" t="s">
        <v>33</v>
      </c>
      <c r="AO95" s="3" t="s">
        <v>1046</v>
      </c>
      <c r="AP95" s="3"/>
    </row>
    <row r="96" spans="1:58" ht="48" x14ac:dyDescent="0.2">
      <c r="A96" s="23">
        <v>120</v>
      </c>
      <c r="B96" s="3" t="s">
        <v>604</v>
      </c>
      <c r="C96" s="3" t="s">
        <v>599</v>
      </c>
      <c r="D96" s="3" t="s">
        <v>605</v>
      </c>
      <c r="E96" s="3" t="s">
        <v>606</v>
      </c>
      <c r="F96" s="1">
        <v>2011</v>
      </c>
      <c r="G96" s="16" t="s">
        <v>333</v>
      </c>
      <c r="H96" s="3"/>
      <c r="I96" s="3"/>
      <c r="J96" s="3">
        <v>50</v>
      </c>
      <c r="K96" s="3">
        <v>3</v>
      </c>
      <c r="L96" s="3" t="s">
        <v>607</v>
      </c>
      <c r="M96" s="3">
        <v>11</v>
      </c>
      <c r="N96" s="3" t="s">
        <v>1111</v>
      </c>
      <c r="O96" s="3" t="s">
        <v>1154</v>
      </c>
      <c r="P96" s="3" t="s">
        <v>31</v>
      </c>
      <c r="Q96" s="3">
        <v>15</v>
      </c>
      <c r="R96" s="3" t="s">
        <v>1138</v>
      </c>
      <c r="S96" s="3" t="s">
        <v>1138</v>
      </c>
      <c r="T96" s="1" t="s">
        <v>31</v>
      </c>
      <c r="U96" s="16" t="s">
        <v>608</v>
      </c>
      <c r="V96" s="3" t="s">
        <v>33</v>
      </c>
      <c r="W96" s="3" t="s">
        <v>31</v>
      </c>
      <c r="X96" s="3" t="s">
        <v>30</v>
      </c>
      <c r="Y96" s="3" t="s">
        <v>1235</v>
      </c>
      <c r="Z96" s="3">
        <v>5</v>
      </c>
      <c r="AA96" s="1">
        <v>0</v>
      </c>
      <c r="AB96" s="16" t="s">
        <v>39</v>
      </c>
      <c r="AC96" s="3" t="s">
        <v>603</v>
      </c>
      <c r="AD96" s="3" t="s">
        <v>1367</v>
      </c>
      <c r="AE96" s="3" t="s">
        <v>33</v>
      </c>
      <c r="AF96" s="3" t="s">
        <v>30</v>
      </c>
      <c r="AG96" s="3" t="s">
        <v>33</v>
      </c>
      <c r="AH96" s="1" t="s">
        <v>33</v>
      </c>
      <c r="AI96" s="3" t="s">
        <v>33</v>
      </c>
      <c r="AJ96" s="3"/>
      <c r="AK96" s="3" t="s">
        <v>33</v>
      </c>
      <c r="AL96" s="3" t="s">
        <v>30</v>
      </c>
      <c r="AM96" s="3"/>
      <c r="AN96" s="3" t="s">
        <v>33</v>
      </c>
      <c r="AO96" s="3" t="s">
        <v>1046</v>
      </c>
      <c r="AP96" s="3" t="s">
        <v>609</v>
      </c>
    </row>
    <row r="97" spans="1:42" ht="64" customHeight="1" x14ac:dyDescent="0.2">
      <c r="A97" s="51">
        <v>6</v>
      </c>
      <c r="B97" s="46" t="s">
        <v>610</v>
      </c>
      <c r="C97" s="46" t="s">
        <v>611</v>
      </c>
      <c r="D97" s="53" t="s">
        <v>612</v>
      </c>
      <c r="E97" s="46" t="s">
        <v>168</v>
      </c>
      <c r="F97" s="49">
        <v>2014</v>
      </c>
      <c r="G97" s="16" t="s">
        <v>333</v>
      </c>
      <c r="H97" s="3" t="s">
        <v>31</v>
      </c>
      <c r="I97" s="3"/>
      <c r="J97" s="46" t="s">
        <v>1072</v>
      </c>
      <c r="K97" s="3" t="s">
        <v>31</v>
      </c>
      <c r="L97" s="3" t="s">
        <v>613</v>
      </c>
      <c r="M97" s="3">
        <v>13</v>
      </c>
      <c r="N97" s="3" t="s">
        <v>31</v>
      </c>
      <c r="O97" s="3" t="s">
        <v>1154</v>
      </c>
      <c r="P97" s="3" t="s">
        <v>30</v>
      </c>
      <c r="Q97" s="3">
        <v>5</v>
      </c>
      <c r="R97" s="3" t="s">
        <v>614</v>
      </c>
      <c r="S97" s="46" t="s">
        <v>615</v>
      </c>
      <c r="T97" s="1" t="s">
        <v>588</v>
      </c>
      <c r="U97" s="50" t="s">
        <v>589</v>
      </c>
      <c r="V97" s="46" t="s">
        <v>33</v>
      </c>
      <c r="W97" s="3" t="s">
        <v>183</v>
      </c>
      <c r="X97" s="3" t="s">
        <v>30</v>
      </c>
      <c r="Y97" s="46" t="s">
        <v>1262</v>
      </c>
      <c r="Z97" s="46">
        <v>60</v>
      </c>
      <c r="AA97" s="49" t="s">
        <v>31</v>
      </c>
      <c r="AB97" s="16" t="s">
        <v>39</v>
      </c>
      <c r="AC97" s="46" t="s">
        <v>40</v>
      </c>
      <c r="AD97" s="46" t="s">
        <v>1368</v>
      </c>
      <c r="AE97" s="46" t="s">
        <v>30</v>
      </c>
      <c r="AF97" s="46" t="s">
        <v>33</v>
      </c>
      <c r="AG97" s="46" t="s">
        <v>33</v>
      </c>
      <c r="AH97" s="49" t="s">
        <v>33</v>
      </c>
      <c r="AI97" s="46" t="s">
        <v>33</v>
      </c>
      <c r="AJ97" s="51"/>
      <c r="AK97" s="46" t="s">
        <v>33</v>
      </c>
      <c r="AL97" s="46" t="s">
        <v>33</v>
      </c>
      <c r="AM97" s="46" t="s">
        <v>1036</v>
      </c>
      <c r="AN97" s="46" t="s">
        <v>33</v>
      </c>
      <c r="AO97" s="46" t="s">
        <v>1046</v>
      </c>
      <c r="AP97" s="3"/>
    </row>
    <row r="98" spans="1:42" ht="32" x14ac:dyDescent="0.2">
      <c r="A98" s="51"/>
      <c r="B98" s="46"/>
      <c r="C98" s="46"/>
      <c r="D98" s="53"/>
      <c r="E98" s="46"/>
      <c r="F98" s="49"/>
      <c r="G98" s="16" t="s">
        <v>333</v>
      </c>
      <c r="H98" s="3" t="s">
        <v>31</v>
      </c>
      <c r="I98" s="3"/>
      <c r="J98" s="46"/>
      <c r="K98" s="3" t="s">
        <v>31</v>
      </c>
      <c r="L98" s="3" t="s">
        <v>616</v>
      </c>
      <c r="M98" s="3">
        <v>8</v>
      </c>
      <c r="N98" s="3" t="s">
        <v>31</v>
      </c>
      <c r="O98" s="3" t="s">
        <v>1155</v>
      </c>
      <c r="P98" s="3" t="s">
        <v>31</v>
      </c>
      <c r="Q98" s="3">
        <v>5</v>
      </c>
      <c r="R98" s="3" t="s">
        <v>617</v>
      </c>
      <c r="S98" s="46"/>
      <c r="T98" s="1" t="s">
        <v>588</v>
      </c>
      <c r="U98" s="50"/>
      <c r="V98" s="46"/>
      <c r="W98" s="3" t="s">
        <v>183</v>
      </c>
      <c r="X98" s="3" t="s">
        <v>30</v>
      </c>
      <c r="Y98" s="46"/>
      <c r="Z98" s="46"/>
      <c r="AA98" s="49"/>
      <c r="AB98" s="16" t="s">
        <v>74</v>
      </c>
      <c r="AC98" s="46"/>
      <c r="AD98" s="46"/>
      <c r="AE98" s="46"/>
      <c r="AF98" s="46"/>
      <c r="AG98" s="46"/>
      <c r="AH98" s="49"/>
      <c r="AI98" s="46"/>
      <c r="AJ98" s="51"/>
      <c r="AK98" s="46"/>
      <c r="AL98" s="46"/>
      <c r="AM98" s="46"/>
      <c r="AN98" s="46"/>
      <c r="AO98" s="46"/>
      <c r="AP98" s="3"/>
    </row>
    <row r="99" spans="1:42" ht="32" x14ac:dyDescent="0.2">
      <c r="A99" s="51">
        <v>82</v>
      </c>
      <c r="B99" s="46" t="s">
        <v>618</v>
      </c>
      <c r="C99" s="46" t="s">
        <v>619</v>
      </c>
      <c r="D99" s="53" t="s">
        <v>620</v>
      </c>
      <c r="E99" s="46" t="s">
        <v>56</v>
      </c>
      <c r="F99" s="49">
        <v>2021</v>
      </c>
      <c r="G99" s="50" t="s">
        <v>333</v>
      </c>
      <c r="H99" s="46" t="s">
        <v>31</v>
      </c>
      <c r="I99" s="46"/>
      <c r="J99" s="46">
        <v>32</v>
      </c>
      <c r="K99" s="46" t="s">
        <v>31</v>
      </c>
      <c r="L99" s="46" t="s">
        <v>621</v>
      </c>
      <c r="M99" s="46">
        <v>20</v>
      </c>
      <c r="N99" s="46" t="s">
        <v>1112</v>
      </c>
      <c r="O99" s="46" t="s">
        <v>1155</v>
      </c>
      <c r="P99" s="46" t="s">
        <v>33</v>
      </c>
      <c r="Q99" s="3" t="s">
        <v>622</v>
      </c>
      <c r="R99" s="3" t="s">
        <v>1095</v>
      </c>
      <c r="S99" s="46" t="s">
        <v>1203</v>
      </c>
      <c r="T99" s="49" t="s">
        <v>122</v>
      </c>
      <c r="U99" s="16" t="s">
        <v>623</v>
      </c>
      <c r="V99" s="46" t="s">
        <v>30</v>
      </c>
      <c r="W99" s="46" t="s">
        <v>624</v>
      </c>
      <c r="X99" s="46" t="s">
        <v>92</v>
      </c>
      <c r="Y99" s="46" t="s">
        <v>1263</v>
      </c>
      <c r="Z99" s="3">
        <v>4</v>
      </c>
      <c r="AA99" s="1">
        <v>50</v>
      </c>
      <c r="AB99" s="50" t="s">
        <v>1320</v>
      </c>
      <c r="AC99" s="46" t="s">
        <v>146</v>
      </c>
      <c r="AD99" s="3" t="s">
        <v>1369</v>
      </c>
      <c r="AE99" s="46" t="s">
        <v>30</v>
      </c>
      <c r="AF99" s="46" t="s">
        <v>33</v>
      </c>
      <c r="AG99" s="46" t="s">
        <v>33</v>
      </c>
      <c r="AH99" s="49" t="s">
        <v>33</v>
      </c>
      <c r="AI99" s="46" t="s">
        <v>33</v>
      </c>
      <c r="AJ99" s="51"/>
      <c r="AK99" s="46" t="s">
        <v>33</v>
      </c>
      <c r="AL99" s="46" t="s">
        <v>30</v>
      </c>
      <c r="AM99" s="46"/>
      <c r="AN99" s="46" t="s">
        <v>33</v>
      </c>
      <c r="AO99" s="46" t="s">
        <v>1046</v>
      </c>
      <c r="AP99" s="3"/>
    </row>
    <row r="100" spans="1:42" ht="16" x14ac:dyDescent="0.2">
      <c r="A100" s="51"/>
      <c r="B100" s="46"/>
      <c r="C100" s="46"/>
      <c r="D100" s="53"/>
      <c r="E100" s="46"/>
      <c r="F100" s="49"/>
      <c r="G100" s="50"/>
      <c r="H100" s="46"/>
      <c r="I100" s="46"/>
      <c r="J100" s="46"/>
      <c r="K100" s="46"/>
      <c r="L100" s="46"/>
      <c r="M100" s="46"/>
      <c r="N100" s="46"/>
      <c r="O100" s="46"/>
      <c r="P100" s="46"/>
      <c r="Q100" s="3">
        <v>4</v>
      </c>
      <c r="R100" s="3" t="s">
        <v>1167</v>
      </c>
      <c r="S100" s="46"/>
      <c r="T100" s="49"/>
      <c r="U100" s="16" t="s">
        <v>625</v>
      </c>
      <c r="V100" s="46"/>
      <c r="W100" s="46"/>
      <c r="X100" s="46"/>
      <c r="Y100" s="46"/>
      <c r="Z100" s="3">
        <v>60</v>
      </c>
      <c r="AA100" s="1">
        <v>0</v>
      </c>
      <c r="AB100" s="50"/>
      <c r="AC100" s="46"/>
      <c r="AD100" s="3" t="s">
        <v>112</v>
      </c>
      <c r="AE100" s="46"/>
      <c r="AF100" s="46"/>
      <c r="AG100" s="46"/>
      <c r="AH100" s="49"/>
      <c r="AI100" s="46"/>
      <c r="AJ100" s="51"/>
      <c r="AK100" s="46"/>
      <c r="AL100" s="46"/>
      <c r="AM100" s="46"/>
      <c r="AN100" s="46"/>
      <c r="AO100" s="46"/>
      <c r="AP100" s="3"/>
    </row>
    <row r="101" spans="1:42" ht="48" x14ac:dyDescent="0.2">
      <c r="A101" s="23">
        <v>17</v>
      </c>
      <c r="B101" s="3" t="s">
        <v>626</v>
      </c>
      <c r="C101" s="3" t="s">
        <v>627</v>
      </c>
      <c r="D101" s="24" t="s">
        <v>628</v>
      </c>
      <c r="E101" s="4" t="s">
        <v>70</v>
      </c>
      <c r="F101" s="2">
        <v>2013</v>
      </c>
      <c r="G101" s="16" t="s">
        <v>333</v>
      </c>
      <c r="H101" s="3" t="s">
        <v>31</v>
      </c>
      <c r="I101" s="3"/>
      <c r="J101" s="3">
        <v>51.2</v>
      </c>
      <c r="K101" s="3">
        <v>6</v>
      </c>
      <c r="L101" s="3" t="s">
        <v>98</v>
      </c>
      <c r="M101" s="3">
        <v>8</v>
      </c>
      <c r="N101" s="3" t="s">
        <v>1113</v>
      </c>
      <c r="O101" s="3" t="s">
        <v>1154</v>
      </c>
      <c r="P101" s="3" t="s">
        <v>33</v>
      </c>
      <c r="Q101" s="3">
        <v>7</v>
      </c>
      <c r="R101" s="3" t="s">
        <v>629</v>
      </c>
      <c r="S101" s="3" t="s">
        <v>31</v>
      </c>
      <c r="T101" s="1" t="s">
        <v>588</v>
      </c>
      <c r="U101" s="16" t="s">
        <v>630</v>
      </c>
      <c r="V101" s="3" t="s">
        <v>30</v>
      </c>
      <c r="W101" s="3" t="s">
        <v>31</v>
      </c>
      <c r="X101" s="3" t="s">
        <v>30</v>
      </c>
      <c r="Y101" s="3" t="s">
        <v>1235</v>
      </c>
      <c r="Z101" s="3">
        <v>10</v>
      </c>
      <c r="AA101" s="1">
        <v>50</v>
      </c>
      <c r="AB101" s="16" t="s">
        <v>74</v>
      </c>
      <c r="AC101" s="3" t="s">
        <v>1336</v>
      </c>
      <c r="AD101" s="3" t="s">
        <v>1370</v>
      </c>
      <c r="AE101" s="3" t="s">
        <v>30</v>
      </c>
      <c r="AF101" s="3" t="s">
        <v>30</v>
      </c>
      <c r="AG101" s="3" t="s">
        <v>33</v>
      </c>
      <c r="AH101" s="1" t="s">
        <v>33</v>
      </c>
      <c r="AI101" s="3" t="s">
        <v>33</v>
      </c>
      <c r="AJ101" s="3"/>
      <c r="AK101" s="3" t="s">
        <v>33</v>
      </c>
      <c r="AL101" s="3" t="s">
        <v>33</v>
      </c>
      <c r="AM101" s="3" t="s">
        <v>1035</v>
      </c>
      <c r="AN101" s="3" t="s">
        <v>33</v>
      </c>
      <c r="AO101" s="3" t="s">
        <v>1046</v>
      </c>
      <c r="AP101" s="3"/>
    </row>
    <row r="102" spans="1:42" ht="48" x14ac:dyDescent="0.2">
      <c r="A102" s="23">
        <v>83</v>
      </c>
      <c r="B102" s="3" t="s">
        <v>631</v>
      </c>
      <c r="C102" s="3" t="s">
        <v>632</v>
      </c>
      <c r="D102" s="3" t="s">
        <v>633</v>
      </c>
      <c r="E102" s="3" t="s">
        <v>634</v>
      </c>
      <c r="F102" s="1">
        <v>2013</v>
      </c>
      <c r="G102" s="16" t="s">
        <v>333</v>
      </c>
      <c r="H102" s="3" t="s">
        <v>31</v>
      </c>
      <c r="I102" s="3"/>
      <c r="J102" s="3">
        <v>132</v>
      </c>
      <c r="K102" s="3">
        <v>6</v>
      </c>
      <c r="L102" s="3" t="s">
        <v>31</v>
      </c>
      <c r="M102" s="3">
        <v>25</v>
      </c>
      <c r="N102" s="3" t="s">
        <v>1114</v>
      </c>
      <c r="O102" s="3" t="s">
        <v>1155</v>
      </c>
      <c r="P102" s="3" t="s">
        <v>33</v>
      </c>
      <c r="Q102" s="3">
        <v>19</v>
      </c>
      <c r="R102" s="3" t="s">
        <v>1095</v>
      </c>
      <c r="S102" s="3" t="s">
        <v>1095</v>
      </c>
      <c r="T102" s="1" t="s">
        <v>80</v>
      </c>
      <c r="U102" s="16" t="s">
        <v>635</v>
      </c>
      <c r="V102" s="3" t="s">
        <v>30</v>
      </c>
      <c r="W102" s="3" t="s">
        <v>636</v>
      </c>
      <c r="X102" s="3" t="s">
        <v>30</v>
      </c>
      <c r="Y102" s="3" t="s">
        <v>1264</v>
      </c>
      <c r="Z102" s="3">
        <v>1</v>
      </c>
      <c r="AA102" s="1">
        <v>50</v>
      </c>
      <c r="AB102" s="16" t="s">
        <v>39</v>
      </c>
      <c r="AC102" s="3" t="s">
        <v>637</v>
      </c>
      <c r="AD102" s="3" t="s">
        <v>451</v>
      </c>
      <c r="AE102" s="3" t="s">
        <v>33</v>
      </c>
      <c r="AF102" s="3" t="s">
        <v>30</v>
      </c>
      <c r="AG102" s="3" t="s">
        <v>33</v>
      </c>
      <c r="AH102" s="1" t="s">
        <v>33</v>
      </c>
      <c r="AI102" s="3" t="s">
        <v>33</v>
      </c>
      <c r="AJ102" s="3"/>
      <c r="AK102" s="3" t="s">
        <v>33</v>
      </c>
      <c r="AL102" s="3" t="s">
        <v>30</v>
      </c>
      <c r="AM102" s="3"/>
      <c r="AN102" s="3" t="s">
        <v>33</v>
      </c>
      <c r="AO102" s="3" t="s">
        <v>1046</v>
      </c>
      <c r="AP102" s="3"/>
    </row>
    <row r="103" spans="1:42" ht="64" x14ac:dyDescent="0.2">
      <c r="A103" s="23">
        <v>119</v>
      </c>
      <c r="B103" s="3" t="s">
        <v>638</v>
      </c>
      <c r="C103" s="3" t="s">
        <v>639</v>
      </c>
      <c r="D103" s="3" t="s">
        <v>640</v>
      </c>
      <c r="E103" s="3" t="s">
        <v>28</v>
      </c>
      <c r="F103" s="1">
        <v>2019</v>
      </c>
      <c r="G103" s="16" t="s">
        <v>333</v>
      </c>
      <c r="H103" s="3" t="s">
        <v>33</v>
      </c>
      <c r="I103" s="3"/>
      <c r="J103" s="3">
        <v>100</v>
      </c>
      <c r="K103" s="3" t="s">
        <v>1073</v>
      </c>
      <c r="L103" s="3" t="s">
        <v>1074</v>
      </c>
      <c r="M103" s="3" t="s">
        <v>1115</v>
      </c>
      <c r="N103" s="3" t="s">
        <v>31</v>
      </c>
      <c r="O103" s="3" t="s">
        <v>1154</v>
      </c>
      <c r="P103" s="3" t="s">
        <v>33</v>
      </c>
      <c r="Q103" s="3">
        <v>15</v>
      </c>
      <c r="R103" s="3" t="s">
        <v>641</v>
      </c>
      <c r="S103" s="3" t="s">
        <v>31</v>
      </c>
      <c r="T103" s="1" t="s">
        <v>49</v>
      </c>
      <c r="U103" s="16" t="s">
        <v>642</v>
      </c>
      <c r="V103" s="3" t="s">
        <v>30</v>
      </c>
      <c r="W103" s="3" t="s">
        <v>31</v>
      </c>
      <c r="X103" s="3" t="s">
        <v>30</v>
      </c>
      <c r="Y103" s="3" t="s">
        <v>1235</v>
      </c>
      <c r="Z103" s="3" t="s">
        <v>643</v>
      </c>
      <c r="AA103" s="1" t="s">
        <v>31</v>
      </c>
      <c r="AB103" s="16" t="s">
        <v>231</v>
      </c>
      <c r="AC103" s="3" t="s">
        <v>1337</v>
      </c>
      <c r="AD103" s="3" t="s">
        <v>1371</v>
      </c>
      <c r="AE103" s="3" t="s">
        <v>30</v>
      </c>
      <c r="AF103" s="3" t="s">
        <v>30</v>
      </c>
      <c r="AG103" s="3" t="s">
        <v>33</v>
      </c>
      <c r="AH103" s="1" t="s">
        <v>33</v>
      </c>
      <c r="AI103" s="3" t="s">
        <v>33</v>
      </c>
      <c r="AJ103" s="3"/>
      <c r="AK103" s="3" t="s">
        <v>33</v>
      </c>
      <c r="AL103" s="3" t="s">
        <v>33</v>
      </c>
      <c r="AM103" s="3" t="s">
        <v>1035</v>
      </c>
      <c r="AN103" s="3" t="s">
        <v>33</v>
      </c>
      <c r="AO103" s="3" t="s">
        <v>1046</v>
      </c>
      <c r="AP103" s="3"/>
    </row>
    <row r="104" spans="1:42" ht="144" x14ac:dyDescent="0.2">
      <c r="A104" s="23">
        <v>116</v>
      </c>
      <c r="B104" s="3" t="s">
        <v>644</v>
      </c>
      <c r="C104" s="24" t="s">
        <v>639</v>
      </c>
      <c r="D104" s="3" t="s">
        <v>645</v>
      </c>
      <c r="E104" s="3" t="s">
        <v>566</v>
      </c>
      <c r="F104" s="1">
        <v>2021</v>
      </c>
      <c r="G104" s="16" t="s">
        <v>333</v>
      </c>
      <c r="H104" s="3" t="s">
        <v>33</v>
      </c>
      <c r="I104" s="3" t="s">
        <v>560</v>
      </c>
      <c r="J104" s="3">
        <v>100</v>
      </c>
      <c r="K104" s="3" t="s">
        <v>560</v>
      </c>
      <c r="L104" s="3" t="s">
        <v>646</v>
      </c>
      <c r="M104" s="3">
        <v>93</v>
      </c>
      <c r="N104" s="31" t="s">
        <v>1116</v>
      </c>
      <c r="O104" s="3" t="s">
        <v>1154</v>
      </c>
      <c r="P104" s="3" t="s">
        <v>33</v>
      </c>
      <c r="Q104" s="3">
        <v>32</v>
      </c>
      <c r="R104" s="3" t="s">
        <v>647</v>
      </c>
      <c r="S104" s="3" t="s">
        <v>31</v>
      </c>
      <c r="T104" s="1" t="s">
        <v>49</v>
      </c>
      <c r="U104" s="16" t="s">
        <v>648</v>
      </c>
      <c r="V104" s="3" t="s">
        <v>33</v>
      </c>
      <c r="W104" s="3" t="s">
        <v>31</v>
      </c>
      <c r="X104" s="3" t="s">
        <v>30</v>
      </c>
      <c r="Y104" s="3" t="s">
        <v>1095</v>
      </c>
      <c r="Z104" s="3">
        <v>16</v>
      </c>
      <c r="AA104" s="1">
        <v>0</v>
      </c>
      <c r="AB104" s="16" t="s">
        <v>1321</v>
      </c>
      <c r="AC104" s="3" t="s">
        <v>1338</v>
      </c>
      <c r="AD104" s="3" t="s">
        <v>1372</v>
      </c>
      <c r="AE104" s="3" t="s">
        <v>1394</v>
      </c>
      <c r="AF104" s="3" t="s">
        <v>30</v>
      </c>
      <c r="AG104" s="3" t="s">
        <v>33</v>
      </c>
      <c r="AH104" s="1" t="s">
        <v>33</v>
      </c>
      <c r="AI104" s="3" t="s">
        <v>33</v>
      </c>
      <c r="AJ104" s="3"/>
      <c r="AK104" s="3" t="s">
        <v>33</v>
      </c>
      <c r="AL104" s="3" t="s">
        <v>33</v>
      </c>
      <c r="AM104" s="3" t="s">
        <v>1035</v>
      </c>
      <c r="AN104" s="3" t="s">
        <v>33</v>
      </c>
      <c r="AO104" s="3" t="s">
        <v>1046</v>
      </c>
      <c r="AP104" s="3"/>
    </row>
    <row r="105" spans="1:42" ht="240" x14ac:dyDescent="0.2">
      <c r="A105" s="23">
        <v>8</v>
      </c>
      <c r="B105" s="3" t="s">
        <v>649</v>
      </c>
      <c r="C105" s="3" t="s">
        <v>650</v>
      </c>
      <c r="D105" s="24" t="s">
        <v>651</v>
      </c>
      <c r="E105" s="3" t="s">
        <v>117</v>
      </c>
      <c r="F105" s="1">
        <v>2021</v>
      </c>
      <c r="G105" s="16" t="s">
        <v>333</v>
      </c>
      <c r="H105" s="3" t="s">
        <v>31</v>
      </c>
      <c r="I105" s="3"/>
      <c r="J105" s="3" t="s">
        <v>652</v>
      </c>
      <c r="K105" s="3" t="s">
        <v>31</v>
      </c>
      <c r="L105" s="3" t="s">
        <v>653</v>
      </c>
      <c r="M105" s="3">
        <v>4</v>
      </c>
      <c r="N105" s="3" t="s">
        <v>31</v>
      </c>
      <c r="O105" s="3" t="s">
        <v>1155</v>
      </c>
      <c r="P105" s="3" t="s">
        <v>30</v>
      </c>
      <c r="Q105" s="3">
        <v>6</v>
      </c>
      <c r="R105" s="3" t="s">
        <v>654</v>
      </c>
      <c r="S105" s="3" t="s">
        <v>1204</v>
      </c>
      <c r="T105" s="1" t="s">
        <v>80</v>
      </c>
      <c r="U105" s="16" t="s">
        <v>1224</v>
      </c>
      <c r="V105" s="3" t="s">
        <v>30</v>
      </c>
      <c r="W105" s="3" t="s">
        <v>655</v>
      </c>
      <c r="X105" s="3" t="s">
        <v>30</v>
      </c>
      <c r="Y105" s="3" t="s">
        <v>1265</v>
      </c>
      <c r="Z105" s="3" t="s">
        <v>656</v>
      </c>
      <c r="AA105" s="1" t="s">
        <v>657</v>
      </c>
      <c r="AB105" s="16" t="s">
        <v>1306</v>
      </c>
      <c r="AC105" s="3" t="s">
        <v>232</v>
      </c>
      <c r="AD105" s="3" t="s">
        <v>1373</v>
      </c>
      <c r="AE105" s="3" t="s">
        <v>33</v>
      </c>
      <c r="AF105" s="3" t="s">
        <v>30</v>
      </c>
      <c r="AG105" s="3" t="s">
        <v>33</v>
      </c>
      <c r="AH105" s="1" t="s">
        <v>33</v>
      </c>
      <c r="AI105" s="3" t="s">
        <v>33</v>
      </c>
      <c r="AJ105" s="3"/>
      <c r="AK105" s="3" t="s">
        <v>33</v>
      </c>
      <c r="AL105" s="3" t="s">
        <v>33</v>
      </c>
      <c r="AM105" s="3" t="s">
        <v>1048</v>
      </c>
      <c r="AN105" s="3" t="s">
        <v>33</v>
      </c>
      <c r="AO105" s="3" t="s">
        <v>1046</v>
      </c>
      <c r="AP105" s="3"/>
    </row>
    <row r="106" spans="1:42" ht="304" x14ac:dyDescent="0.2">
      <c r="A106" s="23">
        <v>109</v>
      </c>
      <c r="B106" s="3" t="s">
        <v>658</v>
      </c>
      <c r="C106" s="3" t="s">
        <v>659</v>
      </c>
      <c r="D106" s="3" t="s">
        <v>660</v>
      </c>
      <c r="E106" s="3" t="s">
        <v>56</v>
      </c>
      <c r="F106" s="1">
        <v>2022</v>
      </c>
      <c r="G106" s="16" t="s">
        <v>333</v>
      </c>
      <c r="H106" s="3" t="s">
        <v>31</v>
      </c>
      <c r="I106" s="3"/>
      <c r="J106" s="3">
        <v>100</v>
      </c>
      <c r="K106" s="3" t="s">
        <v>31</v>
      </c>
      <c r="L106" s="3" t="s">
        <v>661</v>
      </c>
      <c r="M106" s="3">
        <v>11</v>
      </c>
      <c r="N106" s="3" t="s">
        <v>1117</v>
      </c>
      <c r="O106" s="3" t="s">
        <v>1154</v>
      </c>
      <c r="P106" s="3" t="s">
        <v>31</v>
      </c>
      <c r="Q106" s="3">
        <v>5</v>
      </c>
      <c r="R106" s="4" t="s">
        <v>1095</v>
      </c>
      <c r="S106" s="4" t="s">
        <v>1095</v>
      </c>
      <c r="T106" s="1" t="s">
        <v>80</v>
      </c>
      <c r="U106" s="16" t="s">
        <v>662</v>
      </c>
      <c r="V106" s="3" t="s">
        <v>33</v>
      </c>
      <c r="W106" s="3" t="s">
        <v>230</v>
      </c>
      <c r="X106" s="3" t="s">
        <v>30</v>
      </c>
      <c r="Y106" s="3" t="s">
        <v>1266</v>
      </c>
      <c r="Z106" s="3">
        <v>2</v>
      </c>
      <c r="AA106" s="1">
        <v>50</v>
      </c>
      <c r="AB106" s="16" t="s">
        <v>39</v>
      </c>
      <c r="AC106" s="3" t="s">
        <v>663</v>
      </c>
      <c r="AD106" s="3" t="s">
        <v>62</v>
      </c>
      <c r="AE106" s="3" t="s">
        <v>30</v>
      </c>
      <c r="AF106" s="3" t="s">
        <v>33</v>
      </c>
      <c r="AG106" s="3" t="s">
        <v>33</v>
      </c>
      <c r="AH106" s="1" t="s">
        <v>33</v>
      </c>
      <c r="AI106" s="3" t="s">
        <v>33</v>
      </c>
      <c r="AJ106" s="3"/>
      <c r="AK106" s="3" t="s">
        <v>33</v>
      </c>
      <c r="AL106" s="3" t="s">
        <v>30</v>
      </c>
      <c r="AM106" s="3"/>
      <c r="AN106" s="3" t="s">
        <v>33</v>
      </c>
      <c r="AO106" s="3" t="s">
        <v>1046</v>
      </c>
      <c r="AP106" s="3"/>
    </row>
    <row r="107" spans="1:42" ht="208" x14ac:dyDescent="0.2">
      <c r="A107" s="23">
        <v>21</v>
      </c>
      <c r="B107" s="3" t="s">
        <v>664</v>
      </c>
      <c r="C107" s="3" t="s">
        <v>665</v>
      </c>
      <c r="D107" s="24" t="s">
        <v>666</v>
      </c>
      <c r="E107" s="3" t="s">
        <v>278</v>
      </c>
      <c r="F107" s="1">
        <v>2018</v>
      </c>
      <c r="G107" s="16" t="s">
        <v>333</v>
      </c>
      <c r="H107" s="3" t="s">
        <v>31</v>
      </c>
      <c r="I107" s="3"/>
      <c r="J107" s="3">
        <v>100</v>
      </c>
      <c r="K107" s="3" t="s">
        <v>31</v>
      </c>
      <c r="L107" s="3" t="s">
        <v>667</v>
      </c>
      <c r="M107" s="3">
        <v>152</v>
      </c>
      <c r="N107" s="3" t="s">
        <v>1118</v>
      </c>
      <c r="O107" s="3" t="s">
        <v>1154</v>
      </c>
      <c r="P107" s="3" t="s">
        <v>31</v>
      </c>
      <c r="Q107" s="3" t="s">
        <v>668</v>
      </c>
      <c r="R107" s="3" t="s">
        <v>669</v>
      </c>
      <c r="S107" s="4" t="s">
        <v>1095</v>
      </c>
      <c r="T107" s="1" t="s">
        <v>122</v>
      </c>
      <c r="U107" s="16" t="s">
        <v>670</v>
      </c>
      <c r="V107" s="3" t="s">
        <v>30</v>
      </c>
      <c r="W107" s="3" t="s">
        <v>31</v>
      </c>
      <c r="X107" s="3" t="s">
        <v>30</v>
      </c>
      <c r="Y107" s="3" t="s">
        <v>1267</v>
      </c>
      <c r="Z107" s="3">
        <v>10</v>
      </c>
      <c r="AA107" s="1">
        <v>0</v>
      </c>
      <c r="AB107" s="16" t="s">
        <v>1322</v>
      </c>
      <c r="AC107" s="3" t="s">
        <v>40</v>
      </c>
      <c r="AD107" s="3" t="s">
        <v>62</v>
      </c>
      <c r="AE107" s="3" t="s">
        <v>33</v>
      </c>
      <c r="AF107" s="3" t="s">
        <v>33</v>
      </c>
      <c r="AG107" s="3" t="s">
        <v>1398</v>
      </c>
      <c r="AH107" s="1" t="s">
        <v>33</v>
      </c>
      <c r="AI107" s="3" t="s">
        <v>33</v>
      </c>
      <c r="AJ107" s="3"/>
      <c r="AK107" s="3" t="s">
        <v>33</v>
      </c>
      <c r="AL107" s="3" t="s">
        <v>30</v>
      </c>
      <c r="AM107" s="3"/>
      <c r="AN107" s="3" t="s">
        <v>33</v>
      </c>
      <c r="AO107" s="3" t="s">
        <v>1046</v>
      </c>
      <c r="AP107" s="3"/>
    </row>
    <row r="108" spans="1:42" ht="48" x14ac:dyDescent="0.2">
      <c r="A108" s="23">
        <v>59</v>
      </c>
      <c r="B108" s="3" t="s">
        <v>671</v>
      </c>
      <c r="C108" s="3" t="s">
        <v>672</v>
      </c>
      <c r="D108" s="3" t="s">
        <v>673</v>
      </c>
      <c r="E108" s="3" t="s">
        <v>237</v>
      </c>
      <c r="F108" s="1">
        <v>2011</v>
      </c>
      <c r="G108" s="16" t="s">
        <v>333</v>
      </c>
      <c r="H108" s="3" t="s">
        <v>31</v>
      </c>
      <c r="I108" s="3"/>
      <c r="J108" s="3">
        <v>33</v>
      </c>
      <c r="K108" s="3">
        <v>2</v>
      </c>
      <c r="L108" s="3" t="s">
        <v>674</v>
      </c>
      <c r="M108" s="3">
        <v>7</v>
      </c>
      <c r="N108" s="3" t="s">
        <v>1119</v>
      </c>
      <c r="O108" s="3" t="s">
        <v>1154</v>
      </c>
      <c r="P108" s="3" t="s">
        <v>33</v>
      </c>
      <c r="Q108" s="3">
        <v>5</v>
      </c>
      <c r="R108" s="3" t="s">
        <v>675</v>
      </c>
      <c r="S108" s="4" t="s">
        <v>1138</v>
      </c>
      <c r="T108" s="1" t="s">
        <v>122</v>
      </c>
      <c r="U108" s="16" t="s">
        <v>676</v>
      </c>
      <c r="V108" s="3" t="s">
        <v>30</v>
      </c>
      <c r="W108" s="3" t="s">
        <v>677</v>
      </c>
      <c r="X108" s="3" t="s">
        <v>30</v>
      </c>
      <c r="Y108" s="3" t="s">
        <v>1095</v>
      </c>
      <c r="Z108" s="3">
        <v>3.88</v>
      </c>
      <c r="AA108" s="1">
        <v>50</v>
      </c>
      <c r="AB108" s="16" t="s">
        <v>678</v>
      </c>
      <c r="AC108" s="3" t="s">
        <v>232</v>
      </c>
      <c r="AD108" s="3" t="s">
        <v>1374</v>
      </c>
      <c r="AE108" s="3" t="s">
        <v>33</v>
      </c>
      <c r="AF108" s="3" t="s">
        <v>33</v>
      </c>
      <c r="AG108" s="3" t="s">
        <v>33</v>
      </c>
      <c r="AH108" s="1" t="s">
        <v>33</v>
      </c>
      <c r="AI108" s="3" t="s">
        <v>33</v>
      </c>
      <c r="AJ108" s="3"/>
      <c r="AK108" s="3" t="s">
        <v>33</v>
      </c>
      <c r="AL108" s="3" t="s">
        <v>33</v>
      </c>
      <c r="AM108" s="3" t="s">
        <v>1049</v>
      </c>
      <c r="AN108" s="3" t="s">
        <v>33</v>
      </c>
      <c r="AO108" s="3" t="s">
        <v>1046</v>
      </c>
      <c r="AP108" s="3"/>
    </row>
    <row r="109" spans="1:42" ht="160" x14ac:dyDescent="0.2">
      <c r="A109" s="23">
        <v>39</v>
      </c>
      <c r="B109" s="3" t="s">
        <v>679</v>
      </c>
      <c r="C109" s="3" t="s">
        <v>680</v>
      </c>
      <c r="D109" s="24" t="s">
        <v>681</v>
      </c>
      <c r="E109" s="3" t="s">
        <v>181</v>
      </c>
      <c r="F109" s="1">
        <v>2018</v>
      </c>
      <c r="G109" s="16" t="s">
        <v>333</v>
      </c>
      <c r="H109" s="3" t="s">
        <v>31</v>
      </c>
      <c r="I109" s="3"/>
      <c r="J109" s="3" t="s">
        <v>31</v>
      </c>
      <c r="K109" s="3" t="s">
        <v>31</v>
      </c>
      <c r="L109" s="3" t="s">
        <v>682</v>
      </c>
      <c r="M109" s="3">
        <v>50</v>
      </c>
      <c r="N109" s="3" t="s">
        <v>683</v>
      </c>
      <c r="O109" s="3" t="s">
        <v>1154</v>
      </c>
      <c r="P109" s="3" t="s">
        <v>30</v>
      </c>
      <c r="Q109" s="3">
        <v>7</v>
      </c>
      <c r="R109" s="3" t="s">
        <v>1205</v>
      </c>
      <c r="S109" s="3" t="s">
        <v>31</v>
      </c>
      <c r="T109" s="1" t="s">
        <v>122</v>
      </c>
      <c r="U109" s="16" t="s">
        <v>371</v>
      </c>
      <c r="V109" s="3" t="s">
        <v>33</v>
      </c>
      <c r="W109" s="3" t="s">
        <v>684</v>
      </c>
      <c r="X109" s="3">
        <v>37</v>
      </c>
      <c r="Y109" s="3" t="s">
        <v>1268</v>
      </c>
      <c r="Z109" s="3" t="s">
        <v>685</v>
      </c>
      <c r="AA109" s="1" t="s">
        <v>31</v>
      </c>
      <c r="AB109" s="16" t="s">
        <v>39</v>
      </c>
      <c r="AC109" s="3" t="s">
        <v>40</v>
      </c>
      <c r="AD109" s="3" t="s">
        <v>62</v>
      </c>
      <c r="AE109" s="3" t="s">
        <v>30</v>
      </c>
      <c r="AF109" s="3" t="s">
        <v>33</v>
      </c>
      <c r="AG109" s="3" t="s">
        <v>33</v>
      </c>
      <c r="AH109" s="1" t="s">
        <v>33</v>
      </c>
      <c r="AI109" s="3" t="s">
        <v>33</v>
      </c>
      <c r="AJ109" s="3"/>
      <c r="AK109" s="3" t="s">
        <v>33</v>
      </c>
      <c r="AL109" s="3" t="s">
        <v>33</v>
      </c>
      <c r="AM109" s="3" t="s">
        <v>1036</v>
      </c>
      <c r="AN109" s="3" t="s">
        <v>33</v>
      </c>
      <c r="AO109" s="3" t="s">
        <v>1046</v>
      </c>
      <c r="AP109" s="3"/>
    </row>
    <row r="110" spans="1:42" ht="112" x14ac:dyDescent="0.2">
      <c r="A110" s="23">
        <v>85</v>
      </c>
      <c r="B110" s="3" t="s">
        <v>686</v>
      </c>
      <c r="C110" s="3" t="s">
        <v>687</v>
      </c>
      <c r="D110" s="3" t="s">
        <v>688</v>
      </c>
      <c r="E110" s="3" t="s">
        <v>117</v>
      </c>
      <c r="F110" s="1">
        <v>2018</v>
      </c>
      <c r="G110" s="16" t="s">
        <v>333</v>
      </c>
      <c r="H110" s="3" t="s">
        <v>31</v>
      </c>
      <c r="I110" s="3"/>
      <c r="J110" s="3" t="s">
        <v>31</v>
      </c>
      <c r="K110" s="3" t="s">
        <v>31</v>
      </c>
      <c r="L110" s="3" t="s">
        <v>31</v>
      </c>
      <c r="M110" s="3">
        <v>4</v>
      </c>
      <c r="N110" s="3" t="s">
        <v>1120</v>
      </c>
      <c r="O110" s="3" t="s">
        <v>1154</v>
      </c>
      <c r="P110" s="3" t="s">
        <v>30</v>
      </c>
      <c r="Q110" s="3">
        <v>3</v>
      </c>
      <c r="R110" s="3" t="s">
        <v>689</v>
      </c>
      <c r="S110" s="3" t="s">
        <v>1206</v>
      </c>
      <c r="T110" s="1" t="s">
        <v>31</v>
      </c>
      <c r="U110" s="16" t="s">
        <v>690</v>
      </c>
      <c r="V110" s="3" t="s">
        <v>30</v>
      </c>
      <c r="W110" s="3" t="s">
        <v>49</v>
      </c>
      <c r="X110" s="3" t="s">
        <v>30</v>
      </c>
      <c r="Y110" s="3" t="s">
        <v>1269</v>
      </c>
      <c r="Z110" s="3">
        <v>2</v>
      </c>
      <c r="AA110" s="1">
        <v>0</v>
      </c>
      <c r="AB110" s="16" t="s">
        <v>74</v>
      </c>
      <c r="AC110" s="3" t="s">
        <v>40</v>
      </c>
      <c r="AD110" s="3" t="s">
        <v>37</v>
      </c>
      <c r="AE110" s="3" t="s">
        <v>33</v>
      </c>
      <c r="AF110" s="3" t="s">
        <v>33</v>
      </c>
      <c r="AG110" s="3" t="s">
        <v>33</v>
      </c>
      <c r="AH110" s="1" t="s">
        <v>33</v>
      </c>
      <c r="AI110" s="3" t="s">
        <v>33</v>
      </c>
      <c r="AJ110" s="3"/>
      <c r="AK110" s="3" t="s">
        <v>33</v>
      </c>
      <c r="AL110" s="3" t="s">
        <v>33</v>
      </c>
      <c r="AM110" s="3" t="s">
        <v>1035</v>
      </c>
      <c r="AN110" s="3" t="s">
        <v>33</v>
      </c>
      <c r="AO110" s="3" t="s">
        <v>1046</v>
      </c>
      <c r="AP110" s="3"/>
    </row>
    <row r="111" spans="1:42" ht="144" x14ac:dyDescent="0.2">
      <c r="A111" s="23">
        <v>7</v>
      </c>
      <c r="B111" s="3" t="s">
        <v>691</v>
      </c>
      <c r="C111" s="3" t="s">
        <v>692</v>
      </c>
      <c r="D111" s="24" t="s">
        <v>693</v>
      </c>
      <c r="E111" s="3" t="s">
        <v>117</v>
      </c>
      <c r="F111" s="1">
        <v>2021</v>
      </c>
      <c r="G111" s="16" t="s">
        <v>333</v>
      </c>
      <c r="H111" s="3" t="s">
        <v>31</v>
      </c>
      <c r="I111" s="3"/>
      <c r="J111" s="3">
        <v>256</v>
      </c>
      <c r="K111" s="3" t="s">
        <v>31</v>
      </c>
      <c r="L111" s="3" t="s">
        <v>31</v>
      </c>
      <c r="M111" s="3">
        <v>8</v>
      </c>
      <c r="N111" s="3" t="s">
        <v>1121</v>
      </c>
      <c r="O111" s="3" t="s">
        <v>31</v>
      </c>
      <c r="P111" s="3" t="s">
        <v>31</v>
      </c>
      <c r="Q111" s="3">
        <v>17</v>
      </c>
      <c r="R111" s="3" t="s">
        <v>1207</v>
      </c>
      <c r="S111" s="3" t="s">
        <v>31</v>
      </c>
      <c r="T111" s="1" t="s">
        <v>80</v>
      </c>
      <c r="U111" s="16" t="s">
        <v>1225</v>
      </c>
      <c r="V111" s="3" t="s">
        <v>33</v>
      </c>
      <c r="W111" s="3" t="s">
        <v>31</v>
      </c>
      <c r="X111" s="3" t="s">
        <v>30</v>
      </c>
      <c r="Y111" s="3" t="s">
        <v>1270</v>
      </c>
      <c r="Z111" s="3" t="s">
        <v>694</v>
      </c>
      <c r="AA111" s="1" t="s">
        <v>31</v>
      </c>
      <c r="AB111" s="16" t="s">
        <v>1319</v>
      </c>
      <c r="AC111" s="3" t="s">
        <v>102</v>
      </c>
      <c r="AD111" s="3" t="s">
        <v>515</v>
      </c>
      <c r="AE111" s="3" t="s">
        <v>33</v>
      </c>
      <c r="AF111" s="3" t="s">
        <v>30</v>
      </c>
      <c r="AG111" s="3" t="s">
        <v>33</v>
      </c>
      <c r="AH111" s="1" t="s">
        <v>33</v>
      </c>
      <c r="AI111" s="3" t="s">
        <v>33</v>
      </c>
      <c r="AJ111" s="3"/>
      <c r="AK111" s="3" t="s">
        <v>33</v>
      </c>
      <c r="AL111" s="3" t="s">
        <v>33</v>
      </c>
      <c r="AM111" s="3" t="s">
        <v>1036</v>
      </c>
      <c r="AN111" s="3" t="s">
        <v>33</v>
      </c>
      <c r="AO111" s="3" t="s">
        <v>1046</v>
      </c>
      <c r="AP111" s="3"/>
    </row>
    <row r="112" spans="1:42" ht="32" x14ac:dyDescent="0.2">
      <c r="A112" s="51">
        <v>75</v>
      </c>
      <c r="B112" s="46" t="s">
        <v>695</v>
      </c>
      <c r="C112" s="46" t="s">
        <v>696</v>
      </c>
      <c r="D112" s="46" t="s">
        <v>697</v>
      </c>
      <c r="E112" s="46" t="s">
        <v>70</v>
      </c>
      <c r="F112" s="49">
        <v>2020</v>
      </c>
      <c r="G112" s="50" t="s">
        <v>333</v>
      </c>
      <c r="H112" s="46" t="s">
        <v>31</v>
      </c>
      <c r="I112" s="46"/>
      <c r="J112" s="46">
        <v>100</v>
      </c>
      <c r="K112" s="46">
        <v>8</v>
      </c>
      <c r="L112" s="46" t="s">
        <v>698</v>
      </c>
      <c r="M112" s="46">
        <v>30</v>
      </c>
      <c r="N112" s="46" t="s">
        <v>1122</v>
      </c>
      <c r="O112" s="46" t="s">
        <v>1154</v>
      </c>
      <c r="P112" s="46" t="s">
        <v>33</v>
      </c>
      <c r="Q112" s="3">
        <v>9</v>
      </c>
      <c r="R112" s="3" t="s">
        <v>699</v>
      </c>
      <c r="S112" s="46" t="s">
        <v>31</v>
      </c>
      <c r="T112" s="49" t="s">
        <v>122</v>
      </c>
      <c r="U112" s="50" t="s">
        <v>700</v>
      </c>
      <c r="V112" s="46" t="s">
        <v>30</v>
      </c>
      <c r="W112" s="46" t="s">
        <v>701</v>
      </c>
      <c r="X112" s="46" t="s">
        <v>30</v>
      </c>
      <c r="Y112" s="46" t="s">
        <v>1271</v>
      </c>
      <c r="Z112" s="46">
        <v>2</v>
      </c>
      <c r="AA112" s="49" t="s">
        <v>31</v>
      </c>
      <c r="AB112" s="50" t="s">
        <v>74</v>
      </c>
      <c r="AC112" s="46" t="s">
        <v>40</v>
      </c>
      <c r="AD112" s="46" t="s">
        <v>62</v>
      </c>
      <c r="AE112" s="46" t="s">
        <v>33</v>
      </c>
      <c r="AF112" s="46" t="s">
        <v>33</v>
      </c>
      <c r="AG112" s="46" t="s">
        <v>33</v>
      </c>
      <c r="AH112" s="49" t="s">
        <v>33</v>
      </c>
      <c r="AI112" s="46" t="s">
        <v>33</v>
      </c>
      <c r="AJ112" s="51"/>
      <c r="AK112" s="46" t="s">
        <v>33</v>
      </c>
      <c r="AL112" s="46" t="s">
        <v>33</v>
      </c>
      <c r="AM112" s="46" t="s">
        <v>1036</v>
      </c>
      <c r="AN112" s="46" t="s">
        <v>33</v>
      </c>
      <c r="AO112" s="46" t="s">
        <v>1046</v>
      </c>
      <c r="AP112" s="3"/>
    </row>
    <row r="113" spans="1:42" ht="122" customHeight="1" x14ac:dyDescent="0.2">
      <c r="A113" s="51"/>
      <c r="B113" s="46"/>
      <c r="C113" s="46"/>
      <c r="D113" s="46"/>
      <c r="E113" s="46"/>
      <c r="F113" s="49"/>
      <c r="G113" s="50"/>
      <c r="H113" s="46"/>
      <c r="I113" s="46"/>
      <c r="J113" s="46"/>
      <c r="K113" s="46"/>
      <c r="L113" s="46"/>
      <c r="M113" s="46"/>
      <c r="N113" s="46"/>
      <c r="O113" s="46"/>
      <c r="P113" s="46"/>
      <c r="Q113" s="3">
        <v>3</v>
      </c>
      <c r="R113" s="3" t="s">
        <v>702</v>
      </c>
      <c r="S113" s="46"/>
      <c r="T113" s="49"/>
      <c r="U113" s="50"/>
      <c r="V113" s="46"/>
      <c r="W113" s="46"/>
      <c r="X113" s="46"/>
      <c r="Y113" s="46"/>
      <c r="Z113" s="46"/>
      <c r="AA113" s="49"/>
      <c r="AB113" s="50"/>
      <c r="AC113" s="46"/>
      <c r="AD113" s="46"/>
      <c r="AE113" s="46"/>
      <c r="AF113" s="46"/>
      <c r="AG113" s="46"/>
      <c r="AH113" s="49"/>
      <c r="AI113" s="46"/>
      <c r="AJ113" s="51"/>
      <c r="AK113" s="46"/>
      <c r="AL113" s="46"/>
      <c r="AM113" s="46"/>
      <c r="AN113" s="46"/>
      <c r="AO113" s="46"/>
      <c r="AP113" s="3"/>
    </row>
    <row r="114" spans="1:42" ht="128" x14ac:dyDescent="0.2">
      <c r="A114" s="23">
        <v>128</v>
      </c>
      <c r="B114" s="3" t="s">
        <v>703</v>
      </c>
      <c r="C114" s="3" t="s">
        <v>704</v>
      </c>
      <c r="D114" s="3" t="s">
        <v>705</v>
      </c>
      <c r="E114" s="3" t="s">
        <v>566</v>
      </c>
      <c r="F114" s="1">
        <v>2015</v>
      </c>
      <c r="G114" s="16" t="s">
        <v>333</v>
      </c>
      <c r="H114" s="3" t="s">
        <v>31</v>
      </c>
      <c r="I114" s="3"/>
      <c r="J114" s="3">
        <v>30</v>
      </c>
      <c r="K114" s="3" t="s">
        <v>31</v>
      </c>
      <c r="L114" s="3" t="s">
        <v>646</v>
      </c>
      <c r="M114" s="3">
        <v>20</v>
      </c>
      <c r="N114" s="3" t="s">
        <v>1123</v>
      </c>
      <c r="O114" s="3" t="s">
        <v>1154</v>
      </c>
      <c r="P114" s="3" t="s">
        <v>30</v>
      </c>
      <c r="Q114" s="3" t="s">
        <v>1168</v>
      </c>
      <c r="R114" s="3" t="s">
        <v>1208</v>
      </c>
      <c r="S114" s="3" t="s">
        <v>1138</v>
      </c>
      <c r="T114" s="1" t="s">
        <v>35</v>
      </c>
      <c r="U114" s="16" t="s">
        <v>706</v>
      </c>
      <c r="V114" s="3" t="s">
        <v>30</v>
      </c>
      <c r="W114" s="3" t="s">
        <v>707</v>
      </c>
      <c r="X114" s="3" t="s">
        <v>30</v>
      </c>
      <c r="Y114" s="3" t="s">
        <v>1272</v>
      </c>
      <c r="Z114" s="3" t="s">
        <v>31</v>
      </c>
      <c r="AA114" s="1" t="s">
        <v>31</v>
      </c>
      <c r="AB114" s="16" t="s">
        <v>1306</v>
      </c>
      <c r="AC114" s="3" t="s">
        <v>40</v>
      </c>
      <c r="AD114" s="3" t="s">
        <v>708</v>
      </c>
      <c r="AE114" s="3" t="s">
        <v>30</v>
      </c>
      <c r="AF114" s="3" t="s">
        <v>30</v>
      </c>
      <c r="AG114" s="3" t="s">
        <v>33</v>
      </c>
      <c r="AH114" s="1" t="s">
        <v>33</v>
      </c>
      <c r="AI114" s="3" t="s">
        <v>33</v>
      </c>
      <c r="AJ114" s="3"/>
      <c r="AK114" s="3" t="s">
        <v>33</v>
      </c>
      <c r="AL114" s="3" t="s">
        <v>33</v>
      </c>
      <c r="AM114" s="3" t="s">
        <v>1035</v>
      </c>
      <c r="AN114" s="3" t="s">
        <v>33</v>
      </c>
      <c r="AO114" s="3" t="s">
        <v>1046</v>
      </c>
      <c r="AP114" s="3"/>
    </row>
    <row r="115" spans="1:42" ht="160" x14ac:dyDescent="0.2">
      <c r="A115" s="23">
        <v>19</v>
      </c>
      <c r="B115" s="3" t="s">
        <v>709</v>
      </c>
      <c r="C115" s="3" t="s">
        <v>710</v>
      </c>
      <c r="D115" s="24" t="s">
        <v>711</v>
      </c>
      <c r="E115" s="3" t="s">
        <v>117</v>
      </c>
      <c r="F115" s="1">
        <v>2013</v>
      </c>
      <c r="G115" s="16" t="s">
        <v>333</v>
      </c>
      <c r="H115" s="3" t="s">
        <v>31</v>
      </c>
      <c r="I115" s="3"/>
      <c r="J115" s="3" t="s">
        <v>31</v>
      </c>
      <c r="K115" s="3" t="s">
        <v>31</v>
      </c>
      <c r="L115" s="3" t="s">
        <v>31</v>
      </c>
      <c r="M115" s="3" t="s">
        <v>31</v>
      </c>
      <c r="N115" s="3" t="s">
        <v>31</v>
      </c>
      <c r="O115" s="3" t="s">
        <v>1154</v>
      </c>
      <c r="P115" s="3" t="s">
        <v>30</v>
      </c>
      <c r="Q115" s="3">
        <v>15</v>
      </c>
      <c r="R115" s="3" t="s">
        <v>1209</v>
      </c>
      <c r="S115" s="3" t="s">
        <v>31</v>
      </c>
      <c r="T115" s="1" t="s">
        <v>31</v>
      </c>
      <c r="U115" s="16" t="s">
        <v>712</v>
      </c>
      <c r="V115" s="3" t="s">
        <v>33</v>
      </c>
      <c r="W115" s="3" t="s">
        <v>31</v>
      </c>
      <c r="X115" s="3" t="s">
        <v>31</v>
      </c>
      <c r="Y115" s="3" t="s">
        <v>31</v>
      </c>
      <c r="Z115" s="3" t="s">
        <v>713</v>
      </c>
      <c r="AA115" s="1" t="s">
        <v>31</v>
      </c>
      <c r="AB115" s="16" t="s">
        <v>31</v>
      </c>
      <c r="AC115" s="3" t="s">
        <v>40</v>
      </c>
      <c r="AD115" s="3" t="s">
        <v>1375</v>
      </c>
      <c r="AE115" s="3" t="s">
        <v>33</v>
      </c>
      <c r="AF115" s="3" t="s">
        <v>30</v>
      </c>
      <c r="AG115" s="3" t="s">
        <v>33</v>
      </c>
      <c r="AH115" s="1" t="s">
        <v>33</v>
      </c>
      <c r="AI115" s="3" t="s">
        <v>33</v>
      </c>
      <c r="AJ115" s="3"/>
      <c r="AK115" s="3" t="s">
        <v>33</v>
      </c>
      <c r="AL115" s="3" t="s">
        <v>33</v>
      </c>
      <c r="AM115" s="3" t="s">
        <v>1037</v>
      </c>
      <c r="AN115" s="3" t="s">
        <v>33</v>
      </c>
      <c r="AO115" s="3" t="s">
        <v>1046</v>
      </c>
      <c r="AP115" s="3"/>
    </row>
    <row r="116" spans="1:42" ht="112" x14ac:dyDescent="0.2">
      <c r="A116" s="23">
        <v>32</v>
      </c>
      <c r="B116" s="3" t="s">
        <v>714</v>
      </c>
      <c r="C116" s="3" t="s">
        <v>715</v>
      </c>
      <c r="D116" s="24" t="s">
        <v>716</v>
      </c>
      <c r="E116" s="3" t="s">
        <v>117</v>
      </c>
      <c r="F116" s="1">
        <v>2021</v>
      </c>
      <c r="G116" s="16" t="s">
        <v>333</v>
      </c>
      <c r="H116" s="3" t="s">
        <v>31</v>
      </c>
      <c r="I116" s="3"/>
      <c r="J116" s="3">
        <v>32</v>
      </c>
      <c r="K116" s="3" t="s">
        <v>31</v>
      </c>
      <c r="L116" s="3" t="s">
        <v>717</v>
      </c>
      <c r="M116" s="3" t="s">
        <v>1124</v>
      </c>
      <c r="N116" s="3" t="s">
        <v>31</v>
      </c>
      <c r="O116" s="3" t="s">
        <v>1154</v>
      </c>
      <c r="P116" s="3" t="s">
        <v>33</v>
      </c>
      <c r="Q116" s="3">
        <v>10</v>
      </c>
      <c r="R116" s="3" t="s">
        <v>718</v>
      </c>
      <c r="S116" s="3" t="s">
        <v>31</v>
      </c>
      <c r="T116" s="1" t="s">
        <v>80</v>
      </c>
      <c r="U116" s="16" t="s">
        <v>285</v>
      </c>
      <c r="V116" s="3" t="s">
        <v>33</v>
      </c>
      <c r="W116" s="3" t="s">
        <v>230</v>
      </c>
      <c r="X116" s="3">
        <v>216</v>
      </c>
      <c r="Y116" s="3" t="s">
        <v>31</v>
      </c>
      <c r="Z116" s="3">
        <v>10</v>
      </c>
      <c r="AA116" s="1">
        <v>40</v>
      </c>
      <c r="AB116" s="16" t="s">
        <v>31</v>
      </c>
      <c r="AC116" s="3" t="s">
        <v>719</v>
      </c>
      <c r="AD116" s="3" t="s">
        <v>720</v>
      </c>
      <c r="AE116" s="3" t="s">
        <v>30</v>
      </c>
      <c r="AF116" s="3" t="s">
        <v>33</v>
      </c>
      <c r="AG116" s="3" t="s">
        <v>1399</v>
      </c>
      <c r="AH116" s="1" t="s">
        <v>1399</v>
      </c>
      <c r="AI116" s="3" t="s">
        <v>30</v>
      </c>
      <c r="AJ116" s="3" t="s">
        <v>721</v>
      </c>
      <c r="AK116" s="3" t="s">
        <v>33</v>
      </c>
      <c r="AL116" s="3" t="s">
        <v>1050</v>
      </c>
      <c r="AM116" s="3"/>
      <c r="AN116" s="3" t="s">
        <v>33</v>
      </c>
      <c r="AO116" s="3" t="s">
        <v>1046</v>
      </c>
      <c r="AP116" s="3"/>
    </row>
    <row r="117" spans="1:42" ht="64" x14ac:dyDescent="0.2">
      <c r="A117" s="23">
        <v>89</v>
      </c>
      <c r="B117" s="3" t="s">
        <v>722</v>
      </c>
      <c r="C117" s="3" t="s">
        <v>363</v>
      </c>
      <c r="D117" s="24" t="s">
        <v>723</v>
      </c>
      <c r="E117" s="3" t="s">
        <v>117</v>
      </c>
      <c r="F117" s="1">
        <v>2023</v>
      </c>
      <c r="G117" s="16" t="s">
        <v>333</v>
      </c>
      <c r="H117" s="3" t="s">
        <v>30</v>
      </c>
      <c r="I117" s="3" t="s">
        <v>724</v>
      </c>
      <c r="J117" s="3">
        <v>12.5</v>
      </c>
      <c r="K117" s="3">
        <v>8</v>
      </c>
      <c r="L117" s="3" t="s">
        <v>725</v>
      </c>
      <c r="M117" s="3">
        <v>10</v>
      </c>
      <c r="N117" s="3" t="s">
        <v>1125</v>
      </c>
      <c r="O117" s="3" t="s">
        <v>31</v>
      </c>
      <c r="P117" s="3" t="s">
        <v>30</v>
      </c>
      <c r="Q117" s="3">
        <v>5</v>
      </c>
      <c r="R117" s="3" t="s">
        <v>726</v>
      </c>
      <c r="S117" s="3" t="s">
        <v>31</v>
      </c>
      <c r="T117" s="1" t="s">
        <v>31</v>
      </c>
      <c r="U117" s="16" t="s">
        <v>727</v>
      </c>
      <c r="V117" s="3" t="s">
        <v>33</v>
      </c>
      <c r="W117" s="3" t="s">
        <v>31</v>
      </c>
      <c r="X117" s="3" t="s">
        <v>33</v>
      </c>
      <c r="Y117" s="3"/>
      <c r="Z117" s="3">
        <v>1</v>
      </c>
      <c r="AA117" s="1">
        <v>50</v>
      </c>
      <c r="AB117" s="16" t="s">
        <v>1323</v>
      </c>
      <c r="AC117" s="3" t="s">
        <v>232</v>
      </c>
      <c r="AD117" s="3" t="s">
        <v>112</v>
      </c>
      <c r="AE117" s="3" t="s">
        <v>33</v>
      </c>
      <c r="AF117" s="3" t="s">
        <v>33</v>
      </c>
      <c r="AG117" s="3" t="s">
        <v>33</v>
      </c>
      <c r="AH117" s="1" t="s">
        <v>33</v>
      </c>
      <c r="AI117" s="3" t="s">
        <v>30</v>
      </c>
      <c r="AJ117" s="3" t="s">
        <v>724</v>
      </c>
      <c r="AK117" s="3" t="s">
        <v>33</v>
      </c>
      <c r="AL117" s="3" t="s">
        <v>30</v>
      </c>
      <c r="AM117" s="3"/>
      <c r="AN117" s="3" t="s">
        <v>30</v>
      </c>
      <c r="AO117" s="3"/>
      <c r="AP117" s="3"/>
    </row>
    <row r="118" spans="1:42" ht="240" x14ac:dyDescent="0.2">
      <c r="A118" s="23">
        <v>61</v>
      </c>
      <c r="B118" s="3" t="s">
        <v>728</v>
      </c>
      <c r="C118" s="3" t="s">
        <v>729</v>
      </c>
      <c r="D118" s="3" t="s">
        <v>730</v>
      </c>
      <c r="E118" s="3" t="s">
        <v>70</v>
      </c>
      <c r="F118" s="1">
        <v>2019</v>
      </c>
      <c r="G118" s="16" t="s">
        <v>333</v>
      </c>
      <c r="H118" s="3" t="s">
        <v>31</v>
      </c>
      <c r="I118" s="3"/>
      <c r="J118" s="3" t="s">
        <v>31</v>
      </c>
      <c r="K118" s="3" t="s">
        <v>31</v>
      </c>
      <c r="L118" s="3" t="s">
        <v>31</v>
      </c>
      <c r="M118" s="3">
        <v>8</v>
      </c>
      <c r="N118" s="3" t="s">
        <v>31</v>
      </c>
      <c r="O118" s="3" t="s">
        <v>31</v>
      </c>
      <c r="P118" s="3" t="s">
        <v>31</v>
      </c>
      <c r="Q118" s="3">
        <v>5</v>
      </c>
      <c r="R118" s="3" t="s">
        <v>731</v>
      </c>
      <c r="S118" s="3" t="s">
        <v>31</v>
      </c>
      <c r="T118" s="1" t="s">
        <v>31</v>
      </c>
      <c r="U118" s="16" t="s">
        <v>732</v>
      </c>
      <c r="V118" s="3" t="s">
        <v>33</v>
      </c>
      <c r="W118" s="3" t="s">
        <v>31</v>
      </c>
      <c r="X118" s="3" t="s">
        <v>30</v>
      </c>
      <c r="Y118" s="3" t="s">
        <v>1273</v>
      </c>
      <c r="Z118" s="3" t="s">
        <v>733</v>
      </c>
      <c r="AA118" s="1">
        <v>50</v>
      </c>
      <c r="AB118" s="16" t="s">
        <v>31</v>
      </c>
      <c r="AC118" s="3" t="s">
        <v>40</v>
      </c>
      <c r="AD118" s="3" t="s">
        <v>734</v>
      </c>
      <c r="AE118" s="3" t="s">
        <v>30</v>
      </c>
      <c r="AF118" s="3" t="s">
        <v>33</v>
      </c>
      <c r="AG118" s="3" t="s">
        <v>33</v>
      </c>
      <c r="AH118" s="1" t="s">
        <v>33</v>
      </c>
      <c r="AI118" s="3" t="s">
        <v>33</v>
      </c>
      <c r="AJ118" s="3"/>
      <c r="AK118" s="3" t="s">
        <v>33</v>
      </c>
      <c r="AL118" s="3" t="s">
        <v>33</v>
      </c>
      <c r="AM118" s="3" t="s">
        <v>1037</v>
      </c>
      <c r="AN118" s="3" t="s">
        <v>33</v>
      </c>
      <c r="AO118" s="3" t="s">
        <v>1046</v>
      </c>
      <c r="AP118" s="3"/>
    </row>
    <row r="119" spans="1:42" ht="64" x14ac:dyDescent="0.2">
      <c r="A119" s="23">
        <v>34</v>
      </c>
      <c r="B119" s="3" t="s">
        <v>735</v>
      </c>
      <c r="C119" s="3" t="s">
        <v>736</v>
      </c>
      <c r="D119" s="24" t="s">
        <v>737</v>
      </c>
      <c r="E119" s="3" t="s">
        <v>634</v>
      </c>
      <c r="F119" s="1">
        <v>2017</v>
      </c>
      <c r="G119" s="16" t="s">
        <v>333</v>
      </c>
      <c r="H119" s="3" t="s">
        <v>31</v>
      </c>
      <c r="I119" s="3"/>
      <c r="J119" s="3">
        <v>30</v>
      </c>
      <c r="K119" s="3" t="s">
        <v>31</v>
      </c>
      <c r="L119" s="3" t="s">
        <v>738</v>
      </c>
      <c r="M119" s="3">
        <v>2</v>
      </c>
      <c r="N119" s="3" t="s">
        <v>1126</v>
      </c>
      <c r="O119" s="3" t="s">
        <v>1154</v>
      </c>
      <c r="P119" s="3" t="s">
        <v>33</v>
      </c>
      <c r="Q119" s="3">
        <v>5</v>
      </c>
      <c r="R119" s="3" t="s">
        <v>1210</v>
      </c>
      <c r="S119" s="3" t="s">
        <v>31</v>
      </c>
      <c r="T119" s="1" t="s">
        <v>80</v>
      </c>
      <c r="U119" s="16" t="s">
        <v>739</v>
      </c>
      <c r="V119" s="3" t="s">
        <v>33</v>
      </c>
      <c r="W119" s="3" t="s">
        <v>183</v>
      </c>
      <c r="X119" s="3" t="s">
        <v>30</v>
      </c>
      <c r="Y119" s="3" t="s">
        <v>1274</v>
      </c>
      <c r="Z119" s="3">
        <v>0.33</v>
      </c>
      <c r="AA119" s="1">
        <v>0</v>
      </c>
      <c r="AB119" s="16" t="s">
        <v>74</v>
      </c>
      <c r="AC119" s="3" t="s">
        <v>40</v>
      </c>
      <c r="AD119" s="3" t="s">
        <v>112</v>
      </c>
      <c r="AE119" s="3" t="s">
        <v>33</v>
      </c>
      <c r="AF119" s="3" t="s">
        <v>30</v>
      </c>
      <c r="AG119" s="3" t="s">
        <v>33</v>
      </c>
      <c r="AH119" s="1" t="s">
        <v>33</v>
      </c>
      <c r="AI119" s="3" t="s">
        <v>33</v>
      </c>
      <c r="AJ119" s="3"/>
      <c r="AK119" s="3" t="s">
        <v>33</v>
      </c>
      <c r="AL119" s="3" t="s">
        <v>33</v>
      </c>
      <c r="AM119" s="3" t="s">
        <v>1035</v>
      </c>
      <c r="AN119" s="3" t="s">
        <v>33</v>
      </c>
      <c r="AO119" s="3" t="s">
        <v>1046</v>
      </c>
      <c r="AP119" s="3"/>
    </row>
    <row r="120" spans="1:42" ht="80" x14ac:dyDescent="0.2">
      <c r="A120" s="23">
        <v>53</v>
      </c>
      <c r="B120" s="3" t="s">
        <v>740</v>
      </c>
      <c r="C120" s="3" t="s">
        <v>741</v>
      </c>
      <c r="D120" s="24" t="s">
        <v>742</v>
      </c>
      <c r="E120" s="3" t="s">
        <v>70</v>
      </c>
      <c r="F120" s="1">
        <v>2009</v>
      </c>
      <c r="G120" s="16" t="s">
        <v>333</v>
      </c>
      <c r="H120" s="3" t="s">
        <v>31</v>
      </c>
      <c r="I120" s="3"/>
      <c r="J120" s="3">
        <v>100</v>
      </c>
      <c r="K120" s="3">
        <v>4</v>
      </c>
      <c r="L120" s="3" t="s">
        <v>743</v>
      </c>
      <c r="M120" s="3">
        <v>4</v>
      </c>
      <c r="N120" s="3" t="s">
        <v>744</v>
      </c>
      <c r="O120" s="3" t="s">
        <v>1154</v>
      </c>
      <c r="P120" s="3" t="s">
        <v>30</v>
      </c>
      <c r="Q120" s="3">
        <v>7</v>
      </c>
      <c r="R120" s="3" t="s">
        <v>745</v>
      </c>
      <c r="S120" s="3" t="s">
        <v>31</v>
      </c>
      <c r="T120" s="1" t="s">
        <v>80</v>
      </c>
      <c r="U120" s="16" t="s">
        <v>746</v>
      </c>
      <c r="V120" s="3" t="s">
        <v>33</v>
      </c>
      <c r="W120" s="3" t="s">
        <v>747</v>
      </c>
      <c r="X120" s="3" t="s">
        <v>30</v>
      </c>
      <c r="Y120" s="3" t="s">
        <v>1275</v>
      </c>
      <c r="Z120" s="3">
        <v>0.32</v>
      </c>
      <c r="AA120" s="1">
        <v>50</v>
      </c>
      <c r="AB120" s="37" t="s">
        <v>1324</v>
      </c>
      <c r="AC120" s="3" t="s">
        <v>40</v>
      </c>
      <c r="AD120" s="3" t="s">
        <v>1376</v>
      </c>
      <c r="AE120" s="3" t="s">
        <v>30</v>
      </c>
      <c r="AF120" s="3" t="s">
        <v>33</v>
      </c>
      <c r="AG120" s="3" t="s">
        <v>33</v>
      </c>
      <c r="AH120" s="1" t="s">
        <v>33</v>
      </c>
      <c r="AI120" s="3" t="s">
        <v>33</v>
      </c>
      <c r="AJ120" s="3"/>
      <c r="AK120" s="3" t="s">
        <v>33</v>
      </c>
      <c r="AL120" s="3" t="s">
        <v>33</v>
      </c>
      <c r="AM120" s="3" t="s">
        <v>1035</v>
      </c>
      <c r="AN120" s="3" t="s">
        <v>33</v>
      </c>
      <c r="AO120" s="3" t="s">
        <v>1046</v>
      </c>
      <c r="AP120" s="3"/>
    </row>
    <row r="121" spans="1:42" ht="64" x14ac:dyDescent="0.2">
      <c r="A121" s="23">
        <v>69</v>
      </c>
      <c r="B121" s="3" t="s">
        <v>748</v>
      </c>
      <c r="C121" s="3" t="s">
        <v>749</v>
      </c>
      <c r="D121" s="3" t="s">
        <v>750</v>
      </c>
      <c r="E121" s="3" t="s">
        <v>107</v>
      </c>
      <c r="F121" s="1">
        <v>2014</v>
      </c>
      <c r="G121" s="16" t="s">
        <v>333</v>
      </c>
      <c r="H121" s="3" t="s">
        <v>31</v>
      </c>
      <c r="I121" s="3"/>
      <c r="J121" s="3">
        <v>10</v>
      </c>
      <c r="K121" s="3">
        <v>6</v>
      </c>
      <c r="L121" s="3" t="s">
        <v>98</v>
      </c>
      <c r="M121" s="3">
        <v>10</v>
      </c>
      <c r="N121" s="3" t="s">
        <v>1121</v>
      </c>
      <c r="O121" s="3" t="s">
        <v>1154</v>
      </c>
      <c r="P121" s="3" t="s">
        <v>33</v>
      </c>
      <c r="Q121" s="3" t="s">
        <v>1169</v>
      </c>
      <c r="R121" s="3" t="s">
        <v>751</v>
      </c>
      <c r="S121" s="3" t="s">
        <v>1138</v>
      </c>
      <c r="T121" s="1" t="s">
        <v>80</v>
      </c>
      <c r="U121" s="16" t="s">
        <v>752</v>
      </c>
      <c r="V121" s="3" t="s">
        <v>30</v>
      </c>
      <c r="W121" s="3" t="s">
        <v>183</v>
      </c>
      <c r="X121" s="3" t="s">
        <v>30</v>
      </c>
      <c r="Y121" s="3" t="s">
        <v>1235</v>
      </c>
      <c r="Z121" s="3">
        <v>12.8</v>
      </c>
      <c r="AA121" s="1">
        <v>50</v>
      </c>
      <c r="AB121" s="16" t="s">
        <v>39</v>
      </c>
      <c r="AC121" s="3" t="s">
        <v>232</v>
      </c>
      <c r="AD121" s="3" t="s">
        <v>1377</v>
      </c>
      <c r="AE121" s="3" t="s">
        <v>30</v>
      </c>
      <c r="AF121" s="3" t="s">
        <v>30</v>
      </c>
      <c r="AG121" s="3" t="s">
        <v>33</v>
      </c>
      <c r="AH121" s="1" t="s">
        <v>33</v>
      </c>
      <c r="AI121" s="3" t="s">
        <v>33</v>
      </c>
      <c r="AJ121" s="3"/>
      <c r="AK121" s="3" t="s">
        <v>33</v>
      </c>
      <c r="AL121" s="3" t="s">
        <v>30</v>
      </c>
      <c r="AM121" s="3"/>
      <c r="AN121" s="3" t="s">
        <v>33</v>
      </c>
      <c r="AO121" s="3" t="s">
        <v>1046</v>
      </c>
      <c r="AP121" s="3"/>
    </row>
    <row r="122" spans="1:42" ht="80" x14ac:dyDescent="0.2">
      <c r="A122" s="23">
        <v>58</v>
      </c>
      <c r="B122" s="3" t="s">
        <v>753</v>
      </c>
      <c r="C122" s="3" t="s">
        <v>754</v>
      </c>
      <c r="D122" s="3" t="s">
        <v>755</v>
      </c>
      <c r="E122" s="3" t="s">
        <v>85</v>
      </c>
      <c r="F122" s="1">
        <v>2018</v>
      </c>
      <c r="G122" s="16" t="s">
        <v>333</v>
      </c>
      <c r="H122" s="3" t="s">
        <v>31</v>
      </c>
      <c r="I122" s="3"/>
      <c r="J122" s="3">
        <v>67</v>
      </c>
      <c r="K122" s="3" t="s">
        <v>31</v>
      </c>
      <c r="L122" s="3" t="s">
        <v>756</v>
      </c>
      <c r="M122" s="3">
        <v>1</v>
      </c>
      <c r="N122" s="3" t="s">
        <v>31</v>
      </c>
      <c r="O122" s="3" t="s">
        <v>1154</v>
      </c>
      <c r="P122" s="3" t="s">
        <v>33</v>
      </c>
      <c r="Q122" s="3">
        <v>11</v>
      </c>
      <c r="R122" s="3" t="s">
        <v>1212</v>
      </c>
      <c r="S122" s="3" t="s">
        <v>31</v>
      </c>
      <c r="T122" s="1" t="s">
        <v>31</v>
      </c>
      <c r="U122" s="16" t="s">
        <v>757</v>
      </c>
      <c r="V122" s="3" t="s">
        <v>33</v>
      </c>
      <c r="W122" s="3" t="s">
        <v>31</v>
      </c>
      <c r="X122" s="3" t="s">
        <v>30</v>
      </c>
      <c r="Y122" s="3" t="s">
        <v>31</v>
      </c>
      <c r="Z122" s="3">
        <v>0.95</v>
      </c>
      <c r="AA122" s="1">
        <v>90</v>
      </c>
      <c r="AB122" s="16" t="s">
        <v>31</v>
      </c>
      <c r="AC122" s="3" t="s">
        <v>425</v>
      </c>
      <c r="AD122" s="3" t="s">
        <v>1378</v>
      </c>
      <c r="AE122" s="3" t="s">
        <v>30</v>
      </c>
      <c r="AF122" s="3" t="s">
        <v>30</v>
      </c>
      <c r="AG122" s="3" t="s">
        <v>33</v>
      </c>
      <c r="AH122" s="1" t="s">
        <v>33</v>
      </c>
      <c r="AI122" s="4" t="s">
        <v>1400</v>
      </c>
      <c r="AJ122" s="24" t="s">
        <v>1405</v>
      </c>
      <c r="AK122" s="3" t="s">
        <v>33</v>
      </c>
      <c r="AL122" s="3" t="s">
        <v>30</v>
      </c>
      <c r="AM122" s="3"/>
      <c r="AN122" s="3" t="s">
        <v>33</v>
      </c>
      <c r="AO122" s="3" t="s">
        <v>1046</v>
      </c>
      <c r="AP122" s="3"/>
    </row>
    <row r="123" spans="1:42" ht="64" x14ac:dyDescent="0.2">
      <c r="A123" s="23">
        <v>118</v>
      </c>
      <c r="B123" s="3" t="s">
        <v>758</v>
      </c>
      <c r="C123" s="3" t="s">
        <v>759</v>
      </c>
      <c r="D123" s="3" t="s">
        <v>760</v>
      </c>
      <c r="E123" s="3" t="s">
        <v>316</v>
      </c>
      <c r="F123" s="1">
        <v>2020</v>
      </c>
      <c r="G123" s="16" t="s">
        <v>559</v>
      </c>
      <c r="H123" s="3" t="s">
        <v>33</v>
      </c>
      <c r="I123" s="3"/>
      <c r="J123" s="3" t="s">
        <v>31</v>
      </c>
      <c r="K123" s="3" t="s">
        <v>31</v>
      </c>
      <c r="L123" s="3" t="s">
        <v>31</v>
      </c>
      <c r="M123" s="3">
        <v>15</v>
      </c>
      <c r="N123" s="3" t="s">
        <v>1127</v>
      </c>
      <c r="O123" s="3" t="s">
        <v>1154</v>
      </c>
      <c r="P123" s="3" t="s">
        <v>33</v>
      </c>
      <c r="Q123" s="3">
        <v>5</v>
      </c>
      <c r="R123" s="3" t="s">
        <v>761</v>
      </c>
      <c r="S123" s="3" t="s">
        <v>1211</v>
      </c>
      <c r="T123" s="1" t="s">
        <v>588</v>
      </c>
      <c r="U123" s="16" t="s">
        <v>285</v>
      </c>
      <c r="V123" s="3" t="s">
        <v>1226</v>
      </c>
      <c r="W123" s="3" t="s">
        <v>31</v>
      </c>
      <c r="X123" s="3" t="s">
        <v>31</v>
      </c>
      <c r="Y123" s="3" t="s">
        <v>31</v>
      </c>
      <c r="Z123" s="3" t="s">
        <v>1299</v>
      </c>
      <c r="AA123" s="2" t="s">
        <v>31</v>
      </c>
      <c r="AB123" s="36" t="s">
        <v>39</v>
      </c>
      <c r="AC123" s="3" t="s">
        <v>40</v>
      </c>
      <c r="AD123" s="3" t="s">
        <v>451</v>
      </c>
      <c r="AE123" s="3" t="s">
        <v>30</v>
      </c>
      <c r="AF123" s="3" t="s">
        <v>30</v>
      </c>
      <c r="AG123" s="3" t="s">
        <v>33</v>
      </c>
      <c r="AH123" s="1" t="s">
        <v>33</v>
      </c>
      <c r="AI123" s="3" t="s">
        <v>33</v>
      </c>
      <c r="AJ123" s="3"/>
      <c r="AK123" s="3" t="s">
        <v>33</v>
      </c>
      <c r="AL123" s="3" t="s">
        <v>30</v>
      </c>
      <c r="AM123" s="3"/>
      <c r="AN123" s="3" t="s">
        <v>33</v>
      </c>
      <c r="AO123" s="3" t="s">
        <v>1046</v>
      </c>
      <c r="AP123" s="3"/>
    </row>
    <row r="124" spans="1:42" ht="80" x14ac:dyDescent="0.2">
      <c r="A124" s="23">
        <v>62</v>
      </c>
      <c r="B124" s="3" t="s">
        <v>762</v>
      </c>
      <c r="C124" s="3" t="s">
        <v>763</v>
      </c>
      <c r="D124" s="24" t="s">
        <v>764</v>
      </c>
      <c r="E124" s="3" t="s">
        <v>28</v>
      </c>
      <c r="F124" s="1">
        <v>2023</v>
      </c>
      <c r="G124" s="16" t="s">
        <v>333</v>
      </c>
      <c r="H124" s="3" t="s">
        <v>31</v>
      </c>
      <c r="I124" s="3"/>
      <c r="J124" s="3">
        <v>15</v>
      </c>
      <c r="K124" s="3" t="s">
        <v>31</v>
      </c>
      <c r="L124" s="3" t="s">
        <v>765</v>
      </c>
      <c r="M124" s="3">
        <v>8</v>
      </c>
      <c r="N124" s="3" t="s">
        <v>1128</v>
      </c>
      <c r="O124" s="3" t="s">
        <v>1154</v>
      </c>
      <c r="P124" s="3" t="s">
        <v>30</v>
      </c>
      <c r="Q124" s="3">
        <v>18</v>
      </c>
      <c r="R124" s="3" t="s">
        <v>766</v>
      </c>
      <c r="S124" s="3" t="s">
        <v>31</v>
      </c>
      <c r="T124" s="1" t="s">
        <v>49</v>
      </c>
      <c r="U124" s="16" t="s">
        <v>767</v>
      </c>
      <c r="V124" s="3" t="s">
        <v>30</v>
      </c>
      <c r="W124" s="3" t="s">
        <v>240</v>
      </c>
      <c r="X124" s="3" t="s">
        <v>33</v>
      </c>
      <c r="Y124" s="3"/>
      <c r="Z124" s="3" t="s">
        <v>768</v>
      </c>
      <c r="AA124" s="1">
        <v>50</v>
      </c>
      <c r="AB124" s="16" t="s">
        <v>39</v>
      </c>
      <c r="AC124" s="3" t="s">
        <v>241</v>
      </c>
      <c r="AD124" s="3" t="s">
        <v>266</v>
      </c>
      <c r="AE124" s="3" t="s">
        <v>30</v>
      </c>
      <c r="AF124" s="3" t="s">
        <v>33</v>
      </c>
      <c r="AG124" s="3" t="s">
        <v>33</v>
      </c>
      <c r="AH124" s="1" t="s">
        <v>33</v>
      </c>
      <c r="AI124" s="3" t="s">
        <v>33</v>
      </c>
      <c r="AJ124" s="3"/>
      <c r="AK124" s="3" t="s">
        <v>33</v>
      </c>
      <c r="AL124" s="3" t="s">
        <v>30</v>
      </c>
      <c r="AM124" s="3"/>
      <c r="AN124" s="3" t="s">
        <v>33</v>
      </c>
      <c r="AO124" s="3" t="s">
        <v>1046</v>
      </c>
      <c r="AP124" s="3"/>
    </row>
    <row r="125" spans="1:42" ht="80" x14ac:dyDescent="0.2">
      <c r="A125" s="23">
        <v>91</v>
      </c>
      <c r="B125" s="3" t="s">
        <v>769</v>
      </c>
      <c r="C125" s="3" t="s">
        <v>770</v>
      </c>
      <c r="D125" s="3" t="s">
        <v>771</v>
      </c>
      <c r="E125" s="3" t="s">
        <v>168</v>
      </c>
      <c r="F125" s="1">
        <v>2022</v>
      </c>
      <c r="G125" s="16" t="s">
        <v>333</v>
      </c>
      <c r="H125" s="3" t="s">
        <v>31</v>
      </c>
      <c r="I125" s="3"/>
      <c r="J125" s="3">
        <v>100</v>
      </c>
      <c r="K125" s="3" t="s">
        <v>31</v>
      </c>
      <c r="L125" s="3" t="s">
        <v>1075</v>
      </c>
      <c r="M125" s="3" t="s">
        <v>772</v>
      </c>
      <c r="N125" s="3" t="s">
        <v>1129</v>
      </c>
      <c r="O125" s="3" t="s">
        <v>1154</v>
      </c>
      <c r="P125" s="3" t="s">
        <v>33</v>
      </c>
      <c r="Q125" s="3">
        <v>4</v>
      </c>
      <c r="R125" s="3" t="s">
        <v>773</v>
      </c>
      <c r="S125" s="3" t="s">
        <v>31</v>
      </c>
      <c r="T125" s="1" t="s">
        <v>122</v>
      </c>
      <c r="U125" s="16" t="s">
        <v>774</v>
      </c>
      <c r="V125" s="3" t="s">
        <v>30</v>
      </c>
      <c r="W125" s="3" t="s">
        <v>31</v>
      </c>
      <c r="X125" s="3" t="s">
        <v>30</v>
      </c>
      <c r="Y125" s="3" t="s">
        <v>1138</v>
      </c>
      <c r="Z125" s="3">
        <v>3</v>
      </c>
      <c r="AA125" s="1">
        <v>50</v>
      </c>
      <c r="AB125" s="16" t="s">
        <v>39</v>
      </c>
      <c r="AC125" s="3" t="s">
        <v>775</v>
      </c>
      <c r="AD125" s="3" t="s">
        <v>112</v>
      </c>
      <c r="AE125" s="3" t="s">
        <v>30</v>
      </c>
      <c r="AF125" s="3" t="s">
        <v>33</v>
      </c>
      <c r="AG125" s="3" t="s">
        <v>33</v>
      </c>
      <c r="AH125" s="1" t="s">
        <v>33</v>
      </c>
      <c r="AI125" s="3" t="s">
        <v>33</v>
      </c>
      <c r="AJ125" s="3"/>
      <c r="AK125" s="3" t="s">
        <v>33</v>
      </c>
      <c r="AL125" s="3" t="s">
        <v>33</v>
      </c>
      <c r="AM125" s="3" t="s">
        <v>1035</v>
      </c>
      <c r="AN125" s="3" t="s">
        <v>33</v>
      </c>
      <c r="AO125" s="3" t="s">
        <v>1046</v>
      </c>
      <c r="AP125" s="3"/>
    </row>
    <row r="126" spans="1:42" ht="80" x14ac:dyDescent="0.2">
      <c r="A126" s="23">
        <v>103</v>
      </c>
      <c r="B126" s="3" t="s">
        <v>776</v>
      </c>
      <c r="C126" s="3" t="s">
        <v>777</v>
      </c>
      <c r="D126" s="3" t="s">
        <v>778</v>
      </c>
      <c r="E126" s="3" t="s">
        <v>160</v>
      </c>
      <c r="F126" s="1">
        <v>2023</v>
      </c>
      <c r="G126" s="16" t="s">
        <v>333</v>
      </c>
      <c r="H126" s="3" t="s">
        <v>31</v>
      </c>
      <c r="I126" s="3"/>
      <c r="J126" s="3">
        <v>16</v>
      </c>
      <c r="K126" s="3" t="s">
        <v>31</v>
      </c>
      <c r="L126" s="3" t="s">
        <v>31</v>
      </c>
      <c r="M126" s="3">
        <v>1</v>
      </c>
      <c r="N126" s="3" t="s">
        <v>1130</v>
      </c>
      <c r="O126" s="3" t="s">
        <v>1155</v>
      </c>
      <c r="P126" s="3" t="s">
        <v>33</v>
      </c>
      <c r="Q126" s="3">
        <v>5</v>
      </c>
      <c r="R126" s="3" t="s">
        <v>779</v>
      </c>
      <c r="S126" s="3" t="s">
        <v>31</v>
      </c>
      <c r="T126" s="1" t="s">
        <v>122</v>
      </c>
      <c r="U126" s="16" t="s">
        <v>1227</v>
      </c>
      <c r="V126" s="3" t="s">
        <v>33</v>
      </c>
      <c r="W126" s="3" t="s">
        <v>780</v>
      </c>
      <c r="X126" s="3" t="s">
        <v>30</v>
      </c>
      <c r="Y126" s="3" t="s">
        <v>1276</v>
      </c>
      <c r="Z126" s="3">
        <v>2</v>
      </c>
      <c r="AA126" s="1">
        <v>50</v>
      </c>
      <c r="AB126" s="16" t="s">
        <v>1307</v>
      </c>
      <c r="AC126" s="3" t="s">
        <v>781</v>
      </c>
      <c r="AD126" s="3" t="s">
        <v>112</v>
      </c>
      <c r="AE126" s="3" t="s">
        <v>33</v>
      </c>
      <c r="AF126" s="3" t="s">
        <v>33</v>
      </c>
      <c r="AG126" s="3" t="s">
        <v>30</v>
      </c>
      <c r="AH126" s="1" t="s">
        <v>33</v>
      </c>
      <c r="AI126" s="3" t="s">
        <v>33</v>
      </c>
      <c r="AJ126" s="3"/>
      <c r="AK126" s="3" t="s">
        <v>33</v>
      </c>
      <c r="AL126" s="3" t="s">
        <v>33</v>
      </c>
      <c r="AM126" s="3" t="s">
        <v>1035</v>
      </c>
      <c r="AN126" s="3" t="s">
        <v>33</v>
      </c>
      <c r="AO126" s="3" t="s">
        <v>1046</v>
      </c>
      <c r="AP126" s="3"/>
    </row>
    <row r="127" spans="1:42" ht="64" x14ac:dyDescent="0.2">
      <c r="A127" s="23">
        <v>112</v>
      </c>
      <c r="B127" s="3" t="s">
        <v>782</v>
      </c>
      <c r="C127" s="3" t="s">
        <v>783</v>
      </c>
      <c r="D127" s="24" t="s">
        <v>784</v>
      </c>
      <c r="E127" s="24" t="s">
        <v>478</v>
      </c>
      <c r="F127" s="1">
        <v>2020</v>
      </c>
      <c r="G127" s="16" t="s">
        <v>333</v>
      </c>
      <c r="H127" s="3" t="s">
        <v>31</v>
      </c>
      <c r="I127" s="3"/>
      <c r="J127" s="3">
        <v>200</v>
      </c>
      <c r="K127" s="4" t="s">
        <v>31</v>
      </c>
      <c r="L127" s="4" t="s">
        <v>31</v>
      </c>
      <c r="M127" s="4">
        <v>4</v>
      </c>
      <c r="N127" s="4" t="s">
        <v>1131</v>
      </c>
      <c r="O127" s="4" t="s">
        <v>31</v>
      </c>
      <c r="P127" s="3" t="s">
        <v>33</v>
      </c>
      <c r="Q127" s="3">
        <v>8</v>
      </c>
      <c r="R127" s="3" t="s">
        <v>785</v>
      </c>
      <c r="S127" s="4" t="s">
        <v>31</v>
      </c>
      <c r="T127" s="1" t="s">
        <v>31</v>
      </c>
      <c r="U127" s="16" t="s">
        <v>786</v>
      </c>
      <c r="V127" s="3" t="s">
        <v>30</v>
      </c>
      <c r="W127" s="4" t="s">
        <v>31</v>
      </c>
      <c r="X127" s="3" t="s">
        <v>30</v>
      </c>
      <c r="Y127" s="3" t="s">
        <v>1277</v>
      </c>
      <c r="Z127" s="3">
        <v>2</v>
      </c>
      <c r="AA127" s="1">
        <v>50</v>
      </c>
      <c r="AB127" s="16" t="s">
        <v>1325</v>
      </c>
      <c r="AC127" s="3" t="s">
        <v>40</v>
      </c>
      <c r="AD127" s="3" t="s">
        <v>1379</v>
      </c>
      <c r="AE127" s="3" t="s">
        <v>30</v>
      </c>
      <c r="AF127" s="3" t="s">
        <v>33</v>
      </c>
      <c r="AG127" s="3" t="s">
        <v>33</v>
      </c>
      <c r="AH127" s="1" t="s">
        <v>33</v>
      </c>
      <c r="AI127" s="3" t="s">
        <v>33</v>
      </c>
      <c r="AJ127" s="3"/>
      <c r="AK127" s="3" t="s">
        <v>33</v>
      </c>
      <c r="AL127" s="3" t="s">
        <v>33</v>
      </c>
      <c r="AM127" s="3" t="s">
        <v>1035</v>
      </c>
      <c r="AN127" s="3" t="s">
        <v>33</v>
      </c>
      <c r="AO127" s="3" t="s">
        <v>1046</v>
      </c>
      <c r="AP127" s="3"/>
    </row>
    <row r="128" spans="1:42" ht="176" x14ac:dyDescent="0.2">
      <c r="A128" s="23">
        <v>63</v>
      </c>
      <c r="B128" s="3" t="s">
        <v>787</v>
      </c>
      <c r="C128" s="3" t="s">
        <v>788</v>
      </c>
      <c r="D128" s="3" t="s">
        <v>789</v>
      </c>
      <c r="E128" s="3" t="s">
        <v>168</v>
      </c>
      <c r="F128" s="1">
        <v>2021</v>
      </c>
      <c r="G128" s="16" t="s">
        <v>790</v>
      </c>
      <c r="H128" s="3" t="s">
        <v>31</v>
      </c>
      <c r="I128" s="3"/>
      <c r="J128" s="3">
        <v>100</v>
      </c>
      <c r="K128" s="3" t="s">
        <v>31</v>
      </c>
      <c r="L128" s="3" t="s">
        <v>791</v>
      </c>
      <c r="M128" s="3">
        <v>253</v>
      </c>
      <c r="N128" s="3" t="s">
        <v>1132</v>
      </c>
      <c r="O128" s="4" t="s">
        <v>1154</v>
      </c>
      <c r="P128" s="3" t="s">
        <v>31</v>
      </c>
      <c r="Q128" s="3">
        <v>33</v>
      </c>
      <c r="R128" s="3" t="s">
        <v>792</v>
      </c>
      <c r="S128" s="3" t="s">
        <v>31</v>
      </c>
      <c r="T128" s="1" t="s">
        <v>49</v>
      </c>
      <c r="U128" s="16" t="s">
        <v>793</v>
      </c>
      <c r="V128" s="3" t="s">
        <v>30</v>
      </c>
      <c r="W128" s="3" t="s">
        <v>31</v>
      </c>
      <c r="X128" s="3" t="s">
        <v>30</v>
      </c>
      <c r="Y128" s="3" t="s">
        <v>1095</v>
      </c>
      <c r="Z128" s="3">
        <v>60</v>
      </c>
      <c r="AA128" s="1">
        <v>0</v>
      </c>
      <c r="AB128" s="16" t="s">
        <v>231</v>
      </c>
      <c r="AC128" s="3" t="s">
        <v>794</v>
      </c>
      <c r="AD128" s="3" t="s">
        <v>1380</v>
      </c>
      <c r="AE128" s="3" t="s">
        <v>30</v>
      </c>
      <c r="AF128" s="3" t="s">
        <v>33</v>
      </c>
      <c r="AG128" s="3" t="s">
        <v>33</v>
      </c>
      <c r="AH128" s="1" t="s">
        <v>33</v>
      </c>
      <c r="AI128" s="3" t="s">
        <v>33</v>
      </c>
      <c r="AJ128" s="3"/>
      <c r="AK128" s="3" t="s">
        <v>33</v>
      </c>
      <c r="AL128" s="3" t="s">
        <v>33</v>
      </c>
      <c r="AM128" s="3" t="s">
        <v>1035</v>
      </c>
      <c r="AN128" s="3" t="s">
        <v>33</v>
      </c>
      <c r="AO128" s="3" t="s">
        <v>1046</v>
      </c>
      <c r="AP128" s="3"/>
    </row>
    <row r="129" spans="1:71" ht="144" x14ac:dyDescent="0.2">
      <c r="A129" s="23">
        <v>78</v>
      </c>
      <c r="B129" s="3" t="s">
        <v>795</v>
      </c>
      <c r="C129" s="3" t="s">
        <v>796</v>
      </c>
      <c r="D129" s="3" t="s">
        <v>797</v>
      </c>
      <c r="E129" s="3" t="s">
        <v>56</v>
      </c>
      <c r="F129" s="1">
        <v>2015</v>
      </c>
      <c r="G129" s="16" t="s">
        <v>333</v>
      </c>
      <c r="H129" s="3" t="s">
        <v>31</v>
      </c>
      <c r="I129" s="3"/>
      <c r="J129" s="3">
        <v>20</v>
      </c>
      <c r="K129" s="3">
        <v>2</v>
      </c>
      <c r="L129" s="3" t="s">
        <v>798</v>
      </c>
      <c r="M129" s="3">
        <v>48</v>
      </c>
      <c r="N129" s="3" t="s">
        <v>1133</v>
      </c>
      <c r="O129" s="4" t="s">
        <v>1154</v>
      </c>
      <c r="P129" s="3" t="s">
        <v>33</v>
      </c>
      <c r="Q129" s="3">
        <v>8</v>
      </c>
      <c r="R129" s="3" t="s">
        <v>799</v>
      </c>
      <c r="S129" s="3" t="s">
        <v>31</v>
      </c>
      <c r="T129" s="1" t="s">
        <v>31</v>
      </c>
      <c r="U129" s="16" t="s">
        <v>800</v>
      </c>
      <c r="V129" s="3" t="s">
        <v>30</v>
      </c>
      <c r="W129" s="3" t="s">
        <v>31</v>
      </c>
      <c r="X129" s="3" t="s">
        <v>30</v>
      </c>
      <c r="Y129" s="3" t="s">
        <v>1278</v>
      </c>
      <c r="Z129" s="3">
        <v>6</v>
      </c>
      <c r="AA129" s="1">
        <v>0</v>
      </c>
      <c r="AB129" s="16" t="s">
        <v>1326</v>
      </c>
      <c r="AC129" s="3" t="s">
        <v>592</v>
      </c>
      <c r="AD129" s="3" t="s">
        <v>451</v>
      </c>
      <c r="AE129" s="3" t="s">
        <v>30</v>
      </c>
      <c r="AF129" s="3" t="s">
        <v>33</v>
      </c>
      <c r="AG129" s="3" t="s">
        <v>33</v>
      </c>
      <c r="AH129" s="1" t="s">
        <v>33</v>
      </c>
      <c r="AI129" s="3" t="s">
        <v>33</v>
      </c>
      <c r="AJ129" s="3"/>
      <c r="AK129" s="3" t="s">
        <v>33</v>
      </c>
      <c r="AL129" s="3" t="s">
        <v>33</v>
      </c>
      <c r="AM129" s="3" t="s">
        <v>1035</v>
      </c>
      <c r="AN129" s="3" t="s">
        <v>33</v>
      </c>
      <c r="AO129" s="3" t="s">
        <v>1046</v>
      </c>
      <c r="AP129" s="3"/>
    </row>
    <row r="130" spans="1:71" ht="288" x14ac:dyDescent="0.2">
      <c r="A130" s="23">
        <v>47</v>
      </c>
      <c r="B130" s="3" t="s">
        <v>801</v>
      </c>
      <c r="C130" s="3" t="s">
        <v>802</v>
      </c>
      <c r="D130" s="24" t="s">
        <v>803</v>
      </c>
      <c r="E130" s="3" t="s">
        <v>28</v>
      </c>
      <c r="F130" s="1">
        <v>2018</v>
      </c>
      <c r="G130" s="16" t="s">
        <v>333</v>
      </c>
      <c r="H130" s="3" t="s">
        <v>31</v>
      </c>
      <c r="I130" s="3"/>
      <c r="J130" s="3">
        <v>25</v>
      </c>
      <c r="K130" s="3">
        <v>8</v>
      </c>
      <c r="L130" s="3" t="s">
        <v>804</v>
      </c>
      <c r="M130" s="3" t="s">
        <v>805</v>
      </c>
      <c r="N130" s="3" t="s">
        <v>1134</v>
      </c>
      <c r="O130" s="4" t="s">
        <v>1154</v>
      </c>
      <c r="P130" s="3" t="s">
        <v>33</v>
      </c>
      <c r="Q130" s="3">
        <v>5</v>
      </c>
      <c r="R130" s="3" t="s">
        <v>806</v>
      </c>
      <c r="S130" s="3" t="s">
        <v>1095</v>
      </c>
      <c r="T130" s="1" t="s">
        <v>80</v>
      </c>
      <c r="U130" s="16" t="s">
        <v>123</v>
      </c>
      <c r="V130" s="3" t="s">
        <v>33</v>
      </c>
      <c r="W130" s="3" t="s">
        <v>807</v>
      </c>
      <c r="X130" s="3" t="s">
        <v>30</v>
      </c>
      <c r="Y130" s="3" t="s">
        <v>1279</v>
      </c>
      <c r="Z130" s="32" t="s">
        <v>808</v>
      </c>
      <c r="AA130" s="1">
        <v>90</v>
      </c>
      <c r="AB130" s="16" t="s">
        <v>39</v>
      </c>
      <c r="AC130" s="3" t="s">
        <v>40</v>
      </c>
      <c r="AD130" s="3" t="s">
        <v>1381</v>
      </c>
      <c r="AE130" s="3" t="s">
        <v>30</v>
      </c>
      <c r="AF130" s="3" t="s">
        <v>33</v>
      </c>
      <c r="AG130" s="3" t="s">
        <v>33</v>
      </c>
      <c r="AH130" s="1" t="s">
        <v>33</v>
      </c>
      <c r="AI130" s="3" t="s">
        <v>33</v>
      </c>
      <c r="AJ130" s="3"/>
      <c r="AK130" s="3" t="s">
        <v>33</v>
      </c>
      <c r="AL130" s="3" t="s">
        <v>30</v>
      </c>
      <c r="AM130" s="3"/>
      <c r="AN130" s="3" t="s">
        <v>33</v>
      </c>
      <c r="AO130" s="3" t="s">
        <v>1046</v>
      </c>
      <c r="AP130" s="3"/>
    </row>
    <row r="131" spans="1:71" ht="96" x14ac:dyDescent="0.2">
      <c r="A131" s="23">
        <v>106</v>
      </c>
      <c r="B131" s="3" t="s">
        <v>809</v>
      </c>
      <c r="C131" s="3" t="s">
        <v>810</v>
      </c>
      <c r="D131" s="24" t="s">
        <v>811</v>
      </c>
      <c r="E131" s="3" t="s">
        <v>168</v>
      </c>
      <c r="F131" s="1">
        <v>2019</v>
      </c>
      <c r="G131" s="16" t="s">
        <v>333</v>
      </c>
      <c r="H131" s="3" t="s">
        <v>31</v>
      </c>
      <c r="I131" s="3"/>
      <c r="J131" s="3" t="s">
        <v>31</v>
      </c>
      <c r="K131" s="3" t="s">
        <v>31</v>
      </c>
      <c r="L131" s="3" t="s">
        <v>31</v>
      </c>
      <c r="M131" s="3">
        <v>10</v>
      </c>
      <c r="N131" s="3" t="s">
        <v>1135</v>
      </c>
      <c r="O131" s="4" t="s">
        <v>1154</v>
      </c>
      <c r="P131" s="3" t="s">
        <v>33</v>
      </c>
      <c r="Q131" s="3">
        <v>12</v>
      </c>
      <c r="R131" s="3" t="s">
        <v>454</v>
      </c>
      <c r="S131" s="3" t="s">
        <v>1095</v>
      </c>
      <c r="T131" s="1" t="s">
        <v>588</v>
      </c>
      <c r="U131" s="16" t="s">
        <v>812</v>
      </c>
      <c r="V131" s="3" t="s">
        <v>30</v>
      </c>
      <c r="W131" s="3" t="s">
        <v>813</v>
      </c>
      <c r="X131" s="3" t="s">
        <v>30</v>
      </c>
      <c r="Y131" s="3" t="s">
        <v>1138</v>
      </c>
      <c r="Z131" s="3" t="s">
        <v>814</v>
      </c>
      <c r="AA131" s="1">
        <v>50</v>
      </c>
      <c r="AB131" s="16" t="s">
        <v>74</v>
      </c>
      <c r="AC131" s="3" t="s">
        <v>815</v>
      </c>
      <c r="AD131" s="3" t="s">
        <v>816</v>
      </c>
      <c r="AE131" s="3" t="s">
        <v>30</v>
      </c>
      <c r="AF131" s="3" t="s">
        <v>33</v>
      </c>
      <c r="AG131" s="3" t="s">
        <v>33</v>
      </c>
      <c r="AH131" s="1" t="s">
        <v>33</v>
      </c>
      <c r="AI131" s="3" t="s">
        <v>33</v>
      </c>
      <c r="AJ131" s="3"/>
      <c r="AK131" s="3" t="s">
        <v>33</v>
      </c>
      <c r="AL131" s="3" t="s">
        <v>33</v>
      </c>
      <c r="AM131" s="3" t="s">
        <v>1035</v>
      </c>
      <c r="AN131" s="3" t="s">
        <v>33</v>
      </c>
      <c r="AO131" s="3" t="s">
        <v>1046</v>
      </c>
      <c r="AP131" s="3"/>
    </row>
    <row r="132" spans="1:71" ht="96" x14ac:dyDescent="0.2">
      <c r="A132" s="23">
        <v>42</v>
      </c>
      <c r="B132" s="3" t="s">
        <v>817</v>
      </c>
      <c r="C132" s="3" t="s">
        <v>818</v>
      </c>
      <c r="D132" s="24" t="s">
        <v>819</v>
      </c>
      <c r="E132" s="3" t="s">
        <v>316</v>
      </c>
      <c r="F132" s="1">
        <v>2021</v>
      </c>
      <c r="G132" s="16" t="s">
        <v>333</v>
      </c>
      <c r="H132" s="3" t="s">
        <v>31</v>
      </c>
      <c r="I132" s="3"/>
      <c r="J132" s="3" t="s">
        <v>31</v>
      </c>
      <c r="K132" s="3" t="s">
        <v>31</v>
      </c>
      <c r="L132" s="3" t="s">
        <v>31</v>
      </c>
      <c r="M132" s="3">
        <v>30</v>
      </c>
      <c r="N132" s="3" t="s">
        <v>1136</v>
      </c>
      <c r="O132" s="4" t="s">
        <v>1154</v>
      </c>
      <c r="P132" s="3" t="s">
        <v>33</v>
      </c>
      <c r="Q132" s="3">
        <v>4</v>
      </c>
      <c r="R132" s="3" t="s">
        <v>820</v>
      </c>
      <c r="S132" s="3" t="s">
        <v>31</v>
      </c>
      <c r="T132" s="1" t="s">
        <v>31</v>
      </c>
      <c r="U132" s="16" t="s">
        <v>821</v>
      </c>
      <c r="V132" s="3" t="s">
        <v>30</v>
      </c>
      <c r="W132" s="3" t="s">
        <v>822</v>
      </c>
      <c r="X132" s="3" t="s">
        <v>33</v>
      </c>
      <c r="Y132" s="3"/>
      <c r="Z132" s="3">
        <v>2</v>
      </c>
      <c r="AA132" s="1">
        <v>80</v>
      </c>
      <c r="AB132" s="16" t="s">
        <v>1319</v>
      </c>
      <c r="AC132" s="3" t="s">
        <v>40</v>
      </c>
      <c r="AD132" s="3" t="s">
        <v>37</v>
      </c>
      <c r="AE132" s="3" t="s">
        <v>33</v>
      </c>
      <c r="AF132" s="3" t="s">
        <v>30</v>
      </c>
      <c r="AG132" s="3" t="s">
        <v>33</v>
      </c>
      <c r="AH132" s="1" t="s">
        <v>33</v>
      </c>
      <c r="AI132" s="3" t="s">
        <v>33</v>
      </c>
      <c r="AJ132" s="3"/>
      <c r="AK132" s="3" t="s">
        <v>33</v>
      </c>
      <c r="AL132" s="3" t="s">
        <v>33</v>
      </c>
      <c r="AM132" s="3" t="s">
        <v>1035</v>
      </c>
      <c r="AN132" s="3" t="s">
        <v>33</v>
      </c>
      <c r="AO132" s="3" t="s">
        <v>1046</v>
      </c>
      <c r="AP132" s="3"/>
    </row>
    <row r="133" spans="1:71" ht="80" x14ac:dyDescent="0.2">
      <c r="A133" s="23">
        <v>55</v>
      </c>
      <c r="B133" s="3" t="s">
        <v>823</v>
      </c>
      <c r="C133" s="3" t="s">
        <v>824</v>
      </c>
      <c r="D133" s="24" t="s">
        <v>825</v>
      </c>
      <c r="E133" s="3" t="s">
        <v>107</v>
      </c>
      <c r="F133" s="1">
        <v>2017</v>
      </c>
      <c r="G133" s="16" t="s">
        <v>333</v>
      </c>
      <c r="H133" s="3" t="s">
        <v>31</v>
      </c>
      <c r="I133" s="3"/>
      <c r="J133" s="3">
        <v>15</v>
      </c>
      <c r="K133" s="3" t="s">
        <v>31</v>
      </c>
      <c r="L133" s="3" t="s">
        <v>826</v>
      </c>
      <c r="M133" s="3">
        <v>12</v>
      </c>
      <c r="N133" s="3" t="s">
        <v>1137</v>
      </c>
      <c r="O133" s="4" t="s">
        <v>1154</v>
      </c>
      <c r="P133" s="3" t="s">
        <v>30</v>
      </c>
      <c r="Q133" s="3">
        <v>7</v>
      </c>
      <c r="R133" s="3" t="s">
        <v>827</v>
      </c>
      <c r="S133" s="3" t="s">
        <v>31</v>
      </c>
      <c r="T133" s="1" t="s">
        <v>31</v>
      </c>
      <c r="U133" s="16" t="s">
        <v>828</v>
      </c>
      <c r="V133" s="3" t="s">
        <v>30</v>
      </c>
      <c r="W133" s="3" t="s">
        <v>183</v>
      </c>
      <c r="X133" s="3" t="s">
        <v>30</v>
      </c>
      <c r="Y133" s="3" t="s">
        <v>1095</v>
      </c>
      <c r="Z133" s="3">
        <v>1</v>
      </c>
      <c r="AA133" s="1">
        <v>50</v>
      </c>
      <c r="AB133" s="16" t="s">
        <v>829</v>
      </c>
      <c r="AC133" s="3" t="s">
        <v>40</v>
      </c>
      <c r="AD133" s="3" t="s">
        <v>830</v>
      </c>
      <c r="AE133" s="3" t="s">
        <v>30</v>
      </c>
      <c r="AF133" s="3" t="s">
        <v>30</v>
      </c>
      <c r="AG133" s="3" t="s">
        <v>33</v>
      </c>
      <c r="AH133" s="1" t="s">
        <v>33</v>
      </c>
      <c r="AI133" s="3" t="s">
        <v>33</v>
      </c>
      <c r="AJ133" s="3"/>
      <c r="AK133" s="3" t="s">
        <v>33</v>
      </c>
      <c r="AL133" s="3" t="s">
        <v>30</v>
      </c>
      <c r="AM133" s="3"/>
      <c r="AN133" s="3" t="s">
        <v>33</v>
      </c>
      <c r="AO133" s="3" t="s">
        <v>1046</v>
      </c>
      <c r="AP133" s="3"/>
      <c r="BS133" s="21">
        <f>(53-16)/138</f>
        <v>0.26811594202898553</v>
      </c>
    </row>
    <row r="134" spans="1:71" ht="64" x14ac:dyDescent="0.2">
      <c r="A134" s="23">
        <v>129</v>
      </c>
      <c r="B134" s="3" t="s">
        <v>831</v>
      </c>
      <c r="C134" s="3" t="s">
        <v>832</v>
      </c>
      <c r="D134" s="3" t="s">
        <v>833</v>
      </c>
      <c r="E134" s="3" t="s">
        <v>834</v>
      </c>
      <c r="F134" s="1">
        <v>2022</v>
      </c>
      <c r="G134" s="16" t="s">
        <v>333</v>
      </c>
      <c r="H134" s="3" t="s">
        <v>30</v>
      </c>
      <c r="I134" s="3" t="s">
        <v>835</v>
      </c>
      <c r="J134" s="3">
        <v>32</v>
      </c>
      <c r="K134" s="3" t="s">
        <v>31</v>
      </c>
      <c r="L134" s="3" t="s">
        <v>119</v>
      </c>
      <c r="M134" s="3">
        <v>37</v>
      </c>
      <c r="N134" s="3" t="s">
        <v>1138</v>
      </c>
      <c r="O134" s="4" t="s">
        <v>1154</v>
      </c>
      <c r="P134" s="3" t="s">
        <v>33</v>
      </c>
      <c r="Q134" s="3">
        <v>10</v>
      </c>
      <c r="R134" s="3" t="s">
        <v>836</v>
      </c>
      <c r="S134" s="3" t="s">
        <v>31</v>
      </c>
      <c r="T134" s="1" t="s">
        <v>80</v>
      </c>
      <c r="U134" s="16" t="s">
        <v>837</v>
      </c>
      <c r="V134" s="3" t="s">
        <v>30</v>
      </c>
      <c r="W134" s="3" t="s">
        <v>31</v>
      </c>
      <c r="X134" s="3" t="s">
        <v>30</v>
      </c>
      <c r="Y134" s="3" t="s">
        <v>1280</v>
      </c>
      <c r="Z134" s="3" t="s">
        <v>838</v>
      </c>
      <c r="AA134" s="1">
        <v>0</v>
      </c>
      <c r="AB134" s="16" t="s">
        <v>231</v>
      </c>
      <c r="AC134" s="3" t="s">
        <v>1339</v>
      </c>
      <c r="AD134" s="3" t="s">
        <v>839</v>
      </c>
      <c r="AE134" s="3" t="s">
        <v>30</v>
      </c>
      <c r="AF134" s="3" t="s">
        <v>33</v>
      </c>
      <c r="AG134" s="3" t="s">
        <v>33</v>
      </c>
      <c r="AH134" s="1" t="s">
        <v>33</v>
      </c>
      <c r="AI134" s="3" t="s">
        <v>30</v>
      </c>
      <c r="AJ134" s="3" t="s">
        <v>835</v>
      </c>
      <c r="AK134" s="3" t="s">
        <v>33</v>
      </c>
      <c r="AL134" s="3" t="s">
        <v>30</v>
      </c>
      <c r="AM134" s="3"/>
      <c r="AN134" s="3" t="s">
        <v>30</v>
      </c>
      <c r="AO134" s="3"/>
      <c r="AP134" s="3"/>
    </row>
    <row r="135" spans="1:71" ht="112" x14ac:dyDescent="0.2">
      <c r="A135" s="23">
        <v>125</v>
      </c>
      <c r="B135" s="3" t="s">
        <v>840</v>
      </c>
      <c r="C135" s="3" t="s">
        <v>841</v>
      </c>
      <c r="D135" s="3" t="s">
        <v>842</v>
      </c>
      <c r="E135" s="27" t="s">
        <v>478</v>
      </c>
      <c r="F135" s="1">
        <v>2019</v>
      </c>
      <c r="G135" s="16" t="s">
        <v>333</v>
      </c>
      <c r="H135" s="3" t="s">
        <v>31</v>
      </c>
      <c r="I135" s="3"/>
      <c r="J135" s="3">
        <v>16</v>
      </c>
      <c r="K135" s="3">
        <v>2</v>
      </c>
      <c r="L135" s="3" t="s">
        <v>843</v>
      </c>
      <c r="M135" s="3">
        <v>50</v>
      </c>
      <c r="N135" s="3" t="s">
        <v>1139</v>
      </c>
      <c r="O135" s="3" t="s">
        <v>1155</v>
      </c>
      <c r="P135" s="3" t="s">
        <v>33</v>
      </c>
      <c r="Q135" s="3" t="s">
        <v>844</v>
      </c>
      <c r="R135" s="3" t="s">
        <v>845</v>
      </c>
      <c r="S135" s="3" t="s">
        <v>31</v>
      </c>
      <c r="T135" s="1" t="s">
        <v>31</v>
      </c>
      <c r="U135" s="16" t="s">
        <v>846</v>
      </c>
      <c r="V135" s="3" t="s">
        <v>33</v>
      </c>
      <c r="W135" s="31" t="s">
        <v>847</v>
      </c>
      <c r="X135" s="3" t="s">
        <v>30</v>
      </c>
      <c r="Y135" s="3" t="s">
        <v>1281</v>
      </c>
      <c r="Z135" s="3">
        <v>10</v>
      </c>
      <c r="AA135" s="1">
        <v>10</v>
      </c>
      <c r="AB135" s="16" t="s">
        <v>74</v>
      </c>
      <c r="AC135" s="3" t="s">
        <v>1340</v>
      </c>
      <c r="AD135" s="3" t="s">
        <v>848</v>
      </c>
      <c r="AE135" s="3" t="s">
        <v>30</v>
      </c>
      <c r="AF135" s="3" t="s">
        <v>33</v>
      </c>
      <c r="AG135" s="3" t="s">
        <v>33</v>
      </c>
      <c r="AH135" s="1" t="s">
        <v>33</v>
      </c>
      <c r="AI135" s="3" t="s">
        <v>33</v>
      </c>
      <c r="AJ135" s="3"/>
      <c r="AK135" s="3" t="s">
        <v>33</v>
      </c>
      <c r="AL135" s="3" t="s">
        <v>30</v>
      </c>
      <c r="AM135" s="3"/>
      <c r="AN135" s="3" t="s">
        <v>33</v>
      </c>
      <c r="AO135" s="3" t="s">
        <v>1046</v>
      </c>
      <c r="AP135" s="3"/>
    </row>
    <row r="136" spans="1:71" ht="64" x14ac:dyDescent="0.2">
      <c r="A136" s="23">
        <v>64</v>
      </c>
      <c r="B136" s="3" t="s">
        <v>849</v>
      </c>
      <c r="C136" s="3" t="s">
        <v>850</v>
      </c>
      <c r="D136" s="3" t="s">
        <v>851</v>
      </c>
      <c r="E136" s="3" t="s">
        <v>168</v>
      </c>
      <c r="F136" s="1">
        <v>2021</v>
      </c>
      <c r="G136" s="16" t="s">
        <v>333</v>
      </c>
      <c r="H136" s="3" t="s">
        <v>31</v>
      </c>
      <c r="I136" s="3"/>
      <c r="J136" s="3">
        <v>100</v>
      </c>
      <c r="K136" s="3" t="s">
        <v>31</v>
      </c>
      <c r="L136" s="3" t="s">
        <v>852</v>
      </c>
      <c r="M136" s="3" t="s">
        <v>853</v>
      </c>
      <c r="N136" s="3" t="s">
        <v>1140</v>
      </c>
      <c r="O136" s="4" t="s">
        <v>1154</v>
      </c>
      <c r="P136" s="3" t="s">
        <v>30</v>
      </c>
      <c r="Q136" s="3">
        <v>5</v>
      </c>
      <c r="R136" s="3" t="s">
        <v>854</v>
      </c>
      <c r="S136" s="3" t="s">
        <v>31</v>
      </c>
      <c r="T136" s="1" t="s">
        <v>31</v>
      </c>
      <c r="U136" s="16" t="s">
        <v>855</v>
      </c>
      <c r="V136" s="3" t="s">
        <v>30</v>
      </c>
      <c r="W136" s="3" t="s">
        <v>31</v>
      </c>
      <c r="X136" s="3" t="s">
        <v>30</v>
      </c>
      <c r="Y136" s="3" t="s">
        <v>1282</v>
      </c>
      <c r="Z136" s="3">
        <v>2</v>
      </c>
      <c r="AA136" s="1">
        <v>50</v>
      </c>
      <c r="AB136" s="16" t="s">
        <v>856</v>
      </c>
      <c r="AC136" s="3" t="s">
        <v>40</v>
      </c>
      <c r="AD136" s="3" t="s">
        <v>112</v>
      </c>
      <c r="AE136" s="3" t="s">
        <v>33</v>
      </c>
      <c r="AF136" s="3" t="s">
        <v>30</v>
      </c>
      <c r="AG136" s="3" t="s">
        <v>33</v>
      </c>
      <c r="AH136" s="1" t="s">
        <v>33</v>
      </c>
      <c r="AI136" s="3" t="s">
        <v>33</v>
      </c>
      <c r="AJ136" s="3"/>
      <c r="AK136" s="3" t="s">
        <v>33</v>
      </c>
      <c r="AL136" s="3" t="s">
        <v>33</v>
      </c>
      <c r="AM136" s="3" t="s">
        <v>1037</v>
      </c>
      <c r="AN136" s="3" t="s">
        <v>33</v>
      </c>
      <c r="AO136" s="3" t="s">
        <v>1046</v>
      </c>
      <c r="AP136" s="3"/>
    </row>
    <row r="137" spans="1:71" s="29" customFormat="1" ht="261" customHeight="1" x14ac:dyDescent="0.2">
      <c r="A137" s="43">
        <v>135</v>
      </c>
      <c r="B137" s="43" t="s">
        <v>857</v>
      </c>
      <c r="C137" s="43" t="s">
        <v>858</v>
      </c>
      <c r="D137" s="43" t="s">
        <v>859</v>
      </c>
      <c r="E137" s="43" t="s">
        <v>168</v>
      </c>
      <c r="F137" s="44">
        <v>2016</v>
      </c>
      <c r="G137" s="16" t="s">
        <v>559</v>
      </c>
      <c r="H137" s="3" t="s">
        <v>31</v>
      </c>
      <c r="I137" s="3"/>
      <c r="J137" s="3">
        <v>80</v>
      </c>
      <c r="K137" s="3">
        <v>6</v>
      </c>
      <c r="L137" s="3" t="s">
        <v>382</v>
      </c>
      <c r="M137" s="3">
        <v>35</v>
      </c>
      <c r="N137" s="3" t="s">
        <v>1422</v>
      </c>
      <c r="O137" s="4" t="s">
        <v>1154</v>
      </c>
      <c r="P137" s="3" t="s">
        <v>33</v>
      </c>
      <c r="Q137" s="3" t="s">
        <v>1170</v>
      </c>
      <c r="R137" s="3" t="s">
        <v>860</v>
      </c>
      <c r="S137" s="3" t="s">
        <v>30</v>
      </c>
      <c r="T137" s="44" t="s">
        <v>80</v>
      </c>
      <c r="U137" s="45" t="s">
        <v>861</v>
      </c>
      <c r="V137" s="43" t="s">
        <v>30</v>
      </c>
      <c r="W137" s="46" t="s">
        <v>862</v>
      </c>
      <c r="X137" s="43" t="s">
        <v>30</v>
      </c>
      <c r="Y137" s="43" t="s">
        <v>1283</v>
      </c>
      <c r="Z137" s="43" t="s">
        <v>863</v>
      </c>
      <c r="AA137" s="47" t="s">
        <v>31</v>
      </c>
      <c r="AB137" s="48" t="s">
        <v>39</v>
      </c>
      <c r="AC137" s="43" t="s">
        <v>1341</v>
      </c>
      <c r="AD137" s="43" t="s">
        <v>864</v>
      </c>
      <c r="AE137" s="43" t="s">
        <v>30</v>
      </c>
      <c r="AF137" s="43" t="s">
        <v>30</v>
      </c>
      <c r="AG137" s="43" t="s">
        <v>33</v>
      </c>
      <c r="AH137" s="44" t="s">
        <v>33</v>
      </c>
      <c r="AI137" s="43" t="s">
        <v>33</v>
      </c>
      <c r="AJ137" s="43"/>
      <c r="AK137" s="43" t="s">
        <v>33</v>
      </c>
      <c r="AL137" s="43" t="s">
        <v>30</v>
      </c>
      <c r="AM137" s="43"/>
      <c r="AN137" s="43" t="s">
        <v>33</v>
      </c>
      <c r="AO137" s="43" t="s">
        <v>1046</v>
      </c>
      <c r="AP137" s="3"/>
    </row>
    <row r="138" spans="1:71" s="33" customFormat="1" x14ac:dyDescent="0.2">
      <c r="A138" s="43"/>
      <c r="B138" s="43"/>
      <c r="C138" s="43"/>
      <c r="D138" s="43"/>
      <c r="E138" s="43"/>
      <c r="F138" s="44"/>
      <c r="G138" s="17" t="s">
        <v>559</v>
      </c>
      <c r="H138" s="15" t="s">
        <v>31</v>
      </c>
      <c r="I138" s="15"/>
      <c r="J138" s="15">
        <v>80</v>
      </c>
      <c r="K138" s="15">
        <v>6</v>
      </c>
      <c r="L138" s="15" t="s">
        <v>382</v>
      </c>
      <c r="M138" s="15" t="s">
        <v>865</v>
      </c>
      <c r="N138" s="15" t="s">
        <v>31</v>
      </c>
      <c r="O138" s="15" t="s">
        <v>1155</v>
      </c>
      <c r="P138" s="15" t="s">
        <v>33</v>
      </c>
      <c r="Q138" s="15">
        <v>5</v>
      </c>
      <c r="R138" s="15"/>
      <c r="S138" s="15"/>
      <c r="T138" s="44"/>
      <c r="U138" s="45"/>
      <c r="V138" s="43"/>
      <c r="W138" s="46"/>
      <c r="X138" s="43"/>
      <c r="Y138" s="43"/>
      <c r="Z138" s="43"/>
      <c r="AA138" s="47"/>
      <c r="AB138" s="48"/>
      <c r="AC138" s="43"/>
      <c r="AD138" s="43"/>
      <c r="AE138" s="43"/>
      <c r="AF138" s="43"/>
      <c r="AG138" s="43"/>
      <c r="AH138" s="44"/>
      <c r="AI138" s="43"/>
      <c r="AJ138" s="43"/>
      <c r="AK138" s="43"/>
      <c r="AL138" s="43"/>
      <c r="AM138" s="43"/>
      <c r="AN138" s="43"/>
      <c r="AO138" s="43"/>
      <c r="AP138" s="15"/>
    </row>
    <row r="139" spans="1:71" ht="32" x14ac:dyDescent="0.2">
      <c r="A139" s="23">
        <v>95</v>
      </c>
      <c r="B139" s="3" t="s">
        <v>866</v>
      </c>
      <c r="C139" s="3" t="s">
        <v>867</v>
      </c>
      <c r="D139" s="3" t="s">
        <v>868</v>
      </c>
      <c r="E139" s="3" t="s">
        <v>70</v>
      </c>
      <c r="F139" s="1">
        <v>2017</v>
      </c>
      <c r="G139" s="16" t="s">
        <v>333</v>
      </c>
      <c r="H139" s="3" t="s">
        <v>31</v>
      </c>
      <c r="I139" s="3"/>
      <c r="J139" s="3">
        <v>10</v>
      </c>
      <c r="K139" s="3" t="s">
        <v>31</v>
      </c>
      <c r="L139" s="3" t="s">
        <v>869</v>
      </c>
      <c r="M139" s="3">
        <v>12</v>
      </c>
      <c r="N139" s="3" t="s">
        <v>1141</v>
      </c>
      <c r="O139" s="4" t="s">
        <v>1154</v>
      </c>
      <c r="P139" s="3" t="s">
        <v>33</v>
      </c>
      <c r="Q139" s="3">
        <v>5</v>
      </c>
      <c r="R139" s="3" t="s">
        <v>870</v>
      </c>
      <c r="S139" s="3" t="s">
        <v>31</v>
      </c>
      <c r="T139" s="1" t="s">
        <v>31</v>
      </c>
      <c r="U139" s="16" t="s">
        <v>871</v>
      </c>
      <c r="V139" s="3" t="s">
        <v>30</v>
      </c>
      <c r="W139" s="3" t="s">
        <v>31</v>
      </c>
      <c r="X139" s="3" t="s">
        <v>30</v>
      </c>
      <c r="Y139" s="3" t="s">
        <v>1138</v>
      </c>
      <c r="Z139" s="3">
        <v>10</v>
      </c>
      <c r="AA139" s="1" t="s">
        <v>31</v>
      </c>
      <c r="AB139" s="16" t="s">
        <v>39</v>
      </c>
      <c r="AC139" s="3" t="s">
        <v>232</v>
      </c>
      <c r="AD139" s="3" t="s">
        <v>1382</v>
      </c>
      <c r="AE139" s="3" t="s">
        <v>30</v>
      </c>
      <c r="AF139" s="3" t="s">
        <v>30</v>
      </c>
      <c r="AG139" s="3" t="s">
        <v>33</v>
      </c>
      <c r="AH139" s="1" t="s">
        <v>33</v>
      </c>
      <c r="AI139" s="3" t="s">
        <v>33</v>
      </c>
      <c r="AJ139" s="3"/>
      <c r="AK139" s="3" t="s">
        <v>33</v>
      </c>
      <c r="AL139" s="3" t="s">
        <v>33</v>
      </c>
      <c r="AM139" s="3" t="s">
        <v>1035</v>
      </c>
      <c r="AN139" s="3" t="s">
        <v>33</v>
      </c>
      <c r="AO139" s="3" t="s">
        <v>1046</v>
      </c>
      <c r="AP139" s="3"/>
    </row>
    <row r="140" spans="1:71" ht="64" x14ac:dyDescent="0.2">
      <c r="A140" s="23">
        <v>68</v>
      </c>
      <c r="B140" s="3" t="s">
        <v>872</v>
      </c>
      <c r="C140" s="3" t="s">
        <v>873</v>
      </c>
      <c r="D140" s="3" t="s">
        <v>874</v>
      </c>
      <c r="E140" s="3" t="s">
        <v>168</v>
      </c>
      <c r="F140" s="1">
        <v>2015</v>
      </c>
      <c r="G140" s="16" t="s">
        <v>333</v>
      </c>
      <c r="H140" s="3" t="s">
        <v>31</v>
      </c>
      <c r="I140" s="3"/>
      <c r="J140" s="3">
        <v>50</v>
      </c>
      <c r="K140" s="3">
        <v>8</v>
      </c>
      <c r="L140" s="3" t="s">
        <v>875</v>
      </c>
      <c r="M140" s="3" t="s">
        <v>31</v>
      </c>
      <c r="N140" s="3" t="s">
        <v>31</v>
      </c>
      <c r="O140" s="3" t="s">
        <v>31</v>
      </c>
      <c r="P140" s="3" t="s">
        <v>31</v>
      </c>
      <c r="Q140" s="3">
        <v>6</v>
      </c>
      <c r="R140" s="3" t="s">
        <v>876</v>
      </c>
      <c r="S140" s="3" t="s">
        <v>31</v>
      </c>
      <c r="T140" s="1" t="s">
        <v>31</v>
      </c>
      <c r="U140" s="16" t="s">
        <v>877</v>
      </c>
      <c r="V140" s="3" t="s">
        <v>33</v>
      </c>
      <c r="W140" s="3" t="s">
        <v>183</v>
      </c>
      <c r="X140" s="3" t="s">
        <v>30</v>
      </c>
      <c r="Y140" s="3" t="s">
        <v>1284</v>
      </c>
      <c r="Z140" s="3" t="s">
        <v>878</v>
      </c>
      <c r="AA140" s="1" t="s">
        <v>878</v>
      </c>
      <c r="AB140" s="16" t="s">
        <v>74</v>
      </c>
      <c r="AC140" s="3" t="s">
        <v>879</v>
      </c>
      <c r="AD140" s="3" t="s">
        <v>1383</v>
      </c>
      <c r="AE140" s="3" t="s">
        <v>30</v>
      </c>
      <c r="AF140" s="3" t="s">
        <v>33</v>
      </c>
      <c r="AG140" s="3" t="s">
        <v>33</v>
      </c>
      <c r="AH140" s="1" t="s">
        <v>33</v>
      </c>
      <c r="AI140" s="3" t="s">
        <v>33</v>
      </c>
      <c r="AJ140" s="3"/>
      <c r="AK140" s="3" t="s">
        <v>33</v>
      </c>
      <c r="AL140" s="3" t="s">
        <v>30</v>
      </c>
      <c r="AM140" s="3"/>
      <c r="AN140" s="3" t="s">
        <v>33</v>
      </c>
      <c r="AO140" s="3" t="s">
        <v>1046</v>
      </c>
      <c r="AP140" s="3"/>
    </row>
    <row r="141" spans="1:71" ht="224" x14ac:dyDescent="0.2">
      <c r="A141" s="23">
        <v>3</v>
      </c>
      <c r="B141" s="3" t="s">
        <v>880</v>
      </c>
      <c r="C141" s="3" t="s">
        <v>881</v>
      </c>
      <c r="D141" s="24" t="s">
        <v>882</v>
      </c>
      <c r="E141" s="3" t="s">
        <v>70</v>
      </c>
      <c r="F141" s="1">
        <v>2023</v>
      </c>
      <c r="G141" s="16" t="s">
        <v>333</v>
      </c>
      <c r="H141" s="3" t="s">
        <v>30</v>
      </c>
      <c r="I141" s="3" t="s">
        <v>883</v>
      </c>
      <c r="J141" s="3">
        <v>62.5</v>
      </c>
      <c r="K141" s="3" t="s">
        <v>31</v>
      </c>
      <c r="L141" s="3" t="s">
        <v>884</v>
      </c>
      <c r="M141" s="3">
        <v>12</v>
      </c>
      <c r="N141" s="3" t="s">
        <v>1142</v>
      </c>
      <c r="O141" s="4" t="s">
        <v>1154</v>
      </c>
      <c r="P141" s="3" t="s">
        <v>33</v>
      </c>
      <c r="Q141" s="3">
        <v>9</v>
      </c>
      <c r="R141" s="3" t="s">
        <v>885</v>
      </c>
      <c r="S141" s="3" t="s">
        <v>31</v>
      </c>
      <c r="T141" s="1" t="s">
        <v>31</v>
      </c>
      <c r="U141" s="16" t="s">
        <v>886</v>
      </c>
      <c r="V141" s="3" t="s">
        <v>30</v>
      </c>
      <c r="W141" s="3" t="s">
        <v>31</v>
      </c>
      <c r="X141" s="3" t="s">
        <v>30</v>
      </c>
      <c r="Y141" s="3" t="s">
        <v>1285</v>
      </c>
      <c r="Z141" s="3" t="s">
        <v>887</v>
      </c>
      <c r="AA141" s="1" t="s">
        <v>888</v>
      </c>
      <c r="AB141" s="16" t="s">
        <v>1327</v>
      </c>
      <c r="AC141" s="3" t="s">
        <v>146</v>
      </c>
      <c r="AD141" s="3" t="s">
        <v>112</v>
      </c>
      <c r="AE141" s="3" t="s">
        <v>30</v>
      </c>
      <c r="AF141" s="3" t="s">
        <v>30</v>
      </c>
      <c r="AG141" s="3" t="s">
        <v>33</v>
      </c>
      <c r="AH141" s="1" t="s">
        <v>33</v>
      </c>
      <c r="AI141" s="3" t="s">
        <v>33</v>
      </c>
      <c r="AJ141" s="3"/>
      <c r="AK141" s="3" t="s">
        <v>33</v>
      </c>
      <c r="AL141" s="3" t="s">
        <v>33</v>
      </c>
      <c r="AM141" s="3" t="s">
        <v>1037</v>
      </c>
      <c r="AN141" s="3" t="s">
        <v>33</v>
      </c>
      <c r="AO141" s="3" t="s">
        <v>1046</v>
      </c>
      <c r="AP141" s="3"/>
    </row>
    <row r="142" spans="1:71" ht="48" x14ac:dyDescent="0.2">
      <c r="A142" s="23">
        <v>114</v>
      </c>
      <c r="B142" s="3" t="s">
        <v>889</v>
      </c>
      <c r="C142" s="3" t="s">
        <v>890</v>
      </c>
      <c r="D142" s="3" t="s">
        <v>891</v>
      </c>
      <c r="E142" s="3" t="s">
        <v>117</v>
      </c>
      <c r="F142" s="1">
        <v>2011</v>
      </c>
      <c r="G142" s="16" t="s">
        <v>333</v>
      </c>
      <c r="H142" s="3" t="s">
        <v>31</v>
      </c>
      <c r="I142" s="3"/>
      <c r="J142" s="3">
        <v>100</v>
      </c>
      <c r="K142" s="3" t="s">
        <v>31</v>
      </c>
      <c r="L142" s="3" t="s">
        <v>892</v>
      </c>
      <c r="M142" s="3">
        <v>7</v>
      </c>
      <c r="N142" s="3" t="s">
        <v>1121</v>
      </c>
      <c r="O142" s="4" t="s">
        <v>1154</v>
      </c>
      <c r="P142" s="3" t="s">
        <v>30</v>
      </c>
      <c r="Q142" s="3">
        <v>5</v>
      </c>
      <c r="R142" s="3" t="s">
        <v>893</v>
      </c>
      <c r="S142" s="3" t="s">
        <v>31</v>
      </c>
      <c r="T142" s="1" t="s">
        <v>588</v>
      </c>
      <c r="U142" s="16" t="s">
        <v>894</v>
      </c>
      <c r="V142" s="3" t="s">
        <v>30</v>
      </c>
      <c r="W142" s="3" t="s">
        <v>31</v>
      </c>
      <c r="X142" s="3" t="s">
        <v>30</v>
      </c>
      <c r="Y142" s="3" t="s">
        <v>1095</v>
      </c>
      <c r="Z142" s="3">
        <v>2</v>
      </c>
      <c r="AA142" s="1">
        <v>25</v>
      </c>
      <c r="AB142" s="16" t="s">
        <v>31</v>
      </c>
      <c r="AC142" s="3" t="s">
        <v>40</v>
      </c>
      <c r="AD142" s="3" t="s">
        <v>1384</v>
      </c>
      <c r="AE142" s="3" t="s">
        <v>33</v>
      </c>
      <c r="AF142" s="3" t="s">
        <v>33</v>
      </c>
      <c r="AG142" s="3" t="s">
        <v>30</v>
      </c>
      <c r="AH142" s="1" t="s">
        <v>33</v>
      </c>
      <c r="AI142" s="3" t="s">
        <v>33</v>
      </c>
      <c r="AJ142" s="3"/>
      <c r="AK142" s="3" t="s">
        <v>33</v>
      </c>
      <c r="AL142" s="3" t="s">
        <v>30</v>
      </c>
      <c r="AM142" s="3"/>
      <c r="AN142" s="3" t="s">
        <v>33</v>
      </c>
      <c r="AO142" s="3" t="s">
        <v>1046</v>
      </c>
      <c r="AP142" s="3"/>
    </row>
    <row r="143" spans="1:71" ht="395" x14ac:dyDescent="0.2">
      <c r="A143" s="23">
        <v>117</v>
      </c>
      <c r="B143" s="4" t="s">
        <v>895</v>
      </c>
      <c r="C143" s="34" t="s">
        <v>896</v>
      </c>
      <c r="D143" s="3" t="s">
        <v>897</v>
      </c>
      <c r="E143" s="3" t="s">
        <v>898</v>
      </c>
      <c r="F143" s="1">
        <v>2016</v>
      </c>
      <c r="G143" s="16" t="s">
        <v>333</v>
      </c>
      <c r="H143" s="3" t="s">
        <v>1034</v>
      </c>
      <c r="I143" s="3" t="s">
        <v>1065</v>
      </c>
      <c r="J143" s="3">
        <v>50</v>
      </c>
      <c r="K143" s="3" t="s">
        <v>31</v>
      </c>
      <c r="L143" s="3" t="s">
        <v>899</v>
      </c>
      <c r="M143" s="3">
        <v>10</v>
      </c>
      <c r="N143" s="3" t="s">
        <v>1143</v>
      </c>
      <c r="O143" s="4" t="s">
        <v>1154</v>
      </c>
      <c r="P143" s="3" t="s">
        <v>30</v>
      </c>
      <c r="Q143" s="3">
        <v>13</v>
      </c>
      <c r="R143" s="3" t="s">
        <v>900</v>
      </c>
      <c r="S143" s="3" t="s">
        <v>1213</v>
      </c>
      <c r="T143" s="1" t="s">
        <v>80</v>
      </c>
      <c r="U143" s="16" t="s">
        <v>901</v>
      </c>
      <c r="V143" s="3" t="s">
        <v>30</v>
      </c>
      <c r="W143" s="3" t="s">
        <v>1230</v>
      </c>
      <c r="X143" s="3" t="s">
        <v>30</v>
      </c>
      <c r="Y143" s="3" t="s">
        <v>1286</v>
      </c>
      <c r="Z143" s="3" t="s">
        <v>902</v>
      </c>
      <c r="AA143" s="1">
        <v>0</v>
      </c>
      <c r="AB143" s="16" t="s">
        <v>74</v>
      </c>
      <c r="AC143" s="3" t="s">
        <v>903</v>
      </c>
      <c r="AD143" s="3" t="s">
        <v>1385</v>
      </c>
      <c r="AE143" s="3" t="s">
        <v>30</v>
      </c>
      <c r="AF143" s="3" t="s">
        <v>30</v>
      </c>
      <c r="AG143" s="3" t="s">
        <v>33</v>
      </c>
      <c r="AH143" s="1" t="s">
        <v>33</v>
      </c>
      <c r="AI143" s="3" t="s">
        <v>33</v>
      </c>
      <c r="AJ143" s="3"/>
      <c r="AK143" s="3" t="s">
        <v>33</v>
      </c>
      <c r="AL143" s="3" t="s">
        <v>30</v>
      </c>
      <c r="AM143" s="3"/>
      <c r="AN143" s="3" t="s">
        <v>30</v>
      </c>
      <c r="AO143" s="3"/>
      <c r="AP143" s="3"/>
    </row>
    <row r="144" spans="1:71" ht="64" x14ac:dyDescent="0.2">
      <c r="A144" s="23">
        <v>93</v>
      </c>
      <c r="B144" s="3" t="s">
        <v>904</v>
      </c>
      <c r="C144" s="3" t="s">
        <v>905</v>
      </c>
      <c r="D144" s="3" t="s">
        <v>906</v>
      </c>
      <c r="E144" s="3" t="s">
        <v>278</v>
      </c>
      <c r="F144" s="1">
        <v>2015</v>
      </c>
      <c r="G144" s="16" t="s">
        <v>333</v>
      </c>
      <c r="H144" s="3" t="s">
        <v>30</v>
      </c>
      <c r="I144" s="24" t="s">
        <v>907</v>
      </c>
      <c r="J144" s="3" t="s">
        <v>908</v>
      </c>
      <c r="K144" s="3" t="s">
        <v>31</v>
      </c>
      <c r="L144" s="3" t="s">
        <v>909</v>
      </c>
      <c r="M144" s="3">
        <v>9</v>
      </c>
      <c r="N144" s="3" t="s">
        <v>1086</v>
      </c>
      <c r="O144" s="3" t="s">
        <v>31</v>
      </c>
      <c r="P144" s="3" t="s">
        <v>31</v>
      </c>
      <c r="Q144" s="3">
        <v>6</v>
      </c>
      <c r="R144" s="3" t="s">
        <v>910</v>
      </c>
      <c r="S144" s="3" t="s">
        <v>31</v>
      </c>
      <c r="T144" s="1" t="s">
        <v>35</v>
      </c>
      <c r="U144" s="16" t="s">
        <v>911</v>
      </c>
      <c r="V144" s="3" t="s">
        <v>30</v>
      </c>
      <c r="W144" s="3" t="s">
        <v>31</v>
      </c>
      <c r="X144" s="3" t="s">
        <v>30</v>
      </c>
      <c r="Y144" s="3" t="s">
        <v>1287</v>
      </c>
      <c r="Z144" s="3">
        <v>2</v>
      </c>
      <c r="AA144" s="1">
        <v>50</v>
      </c>
      <c r="AB144" s="16" t="s">
        <v>1328</v>
      </c>
      <c r="AC144" s="3" t="s">
        <v>1333</v>
      </c>
      <c r="AD144" s="3" t="s">
        <v>196</v>
      </c>
      <c r="AE144" s="3" t="s">
        <v>33</v>
      </c>
      <c r="AF144" s="3" t="s">
        <v>30</v>
      </c>
      <c r="AG144" s="3" t="s">
        <v>33</v>
      </c>
      <c r="AH144" s="1" t="s">
        <v>33</v>
      </c>
      <c r="AI144" s="3" t="s">
        <v>33</v>
      </c>
      <c r="AJ144" s="3"/>
      <c r="AK144" s="3" t="s">
        <v>33</v>
      </c>
      <c r="AL144" s="3" t="s">
        <v>33</v>
      </c>
      <c r="AM144" s="3" t="s">
        <v>1035</v>
      </c>
      <c r="AN144" s="3" t="s">
        <v>33</v>
      </c>
      <c r="AO144" s="3" t="s">
        <v>1051</v>
      </c>
      <c r="AP144" s="3"/>
    </row>
    <row r="145" spans="1:42" ht="80" x14ac:dyDescent="0.2">
      <c r="A145" s="23">
        <v>136</v>
      </c>
      <c r="B145" s="3" t="s">
        <v>912</v>
      </c>
      <c r="C145" s="3" t="s">
        <v>913</v>
      </c>
      <c r="D145" s="3" t="s">
        <v>914</v>
      </c>
      <c r="E145" s="3" t="s">
        <v>117</v>
      </c>
      <c r="F145" s="1">
        <v>2015</v>
      </c>
      <c r="G145" s="16" t="s">
        <v>559</v>
      </c>
      <c r="H145" s="3" t="s">
        <v>31</v>
      </c>
      <c r="I145" s="3"/>
      <c r="J145" s="3" t="s">
        <v>31</v>
      </c>
      <c r="K145" s="3" t="s">
        <v>31</v>
      </c>
      <c r="L145" s="3" t="s">
        <v>915</v>
      </c>
      <c r="M145" s="3">
        <v>99</v>
      </c>
      <c r="N145" s="3" t="s">
        <v>1095</v>
      </c>
      <c r="O145" s="4" t="s">
        <v>1154</v>
      </c>
      <c r="P145" s="3" t="s">
        <v>30</v>
      </c>
      <c r="Q145" s="3" t="s">
        <v>916</v>
      </c>
      <c r="R145" s="3" t="s">
        <v>917</v>
      </c>
      <c r="S145" s="3" t="s">
        <v>560</v>
      </c>
      <c r="T145" s="1" t="s">
        <v>122</v>
      </c>
      <c r="U145" s="16" t="s">
        <v>285</v>
      </c>
      <c r="V145" s="3" t="s">
        <v>560</v>
      </c>
      <c r="W145" s="3" t="s">
        <v>31</v>
      </c>
      <c r="X145" s="3" t="s">
        <v>30</v>
      </c>
      <c r="Y145" s="3" t="s">
        <v>1288</v>
      </c>
      <c r="Z145" s="4" t="s">
        <v>31</v>
      </c>
      <c r="AA145" s="2" t="s">
        <v>31</v>
      </c>
      <c r="AB145" s="36" t="s">
        <v>39</v>
      </c>
      <c r="AC145" s="4" t="s">
        <v>40</v>
      </c>
      <c r="AD145" s="3" t="s">
        <v>1386</v>
      </c>
      <c r="AE145" s="3" t="s">
        <v>30</v>
      </c>
      <c r="AF145" s="3" t="s">
        <v>30</v>
      </c>
      <c r="AG145" s="3" t="s">
        <v>33</v>
      </c>
      <c r="AH145" s="1" t="s">
        <v>33</v>
      </c>
      <c r="AI145" s="3" t="s">
        <v>33</v>
      </c>
      <c r="AJ145" s="3"/>
      <c r="AK145" s="3" t="s">
        <v>33</v>
      </c>
      <c r="AL145" s="3" t="s">
        <v>33</v>
      </c>
      <c r="AM145" s="3" t="s">
        <v>1036</v>
      </c>
      <c r="AN145" s="3" t="s">
        <v>33</v>
      </c>
      <c r="AO145" s="3" t="s">
        <v>1046</v>
      </c>
      <c r="AP145" s="3"/>
    </row>
    <row r="146" spans="1:42" ht="64" x14ac:dyDescent="0.2">
      <c r="A146" s="23">
        <v>49</v>
      </c>
      <c r="B146" s="3" t="s">
        <v>918</v>
      </c>
      <c r="C146" s="3" t="s">
        <v>401</v>
      </c>
      <c r="D146" s="24" t="s">
        <v>919</v>
      </c>
      <c r="E146" s="3" t="s">
        <v>107</v>
      </c>
      <c r="F146" s="1">
        <v>2016</v>
      </c>
      <c r="G146" s="16" t="s">
        <v>920</v>
      </c>
      <c r="H146" s="3" t="s">
        <v>30</v>
      </c>
      <c r="I146" s="3"/>
      <c r="J146" s="3">
        <v>50</v>
      </c>
      <c r="K146" s="3" t="s">
        <v>31</v>
      </c>
      <c r="L146" s="3" t="s">
        <v>921</v>
      </c>
      <c r="M146" s="3">
        <v>15</v>
      </c>
      <c r="N146" s="3" t="s">
        <v>1144</v>
      </c>
      <c r="O146" s="4" t="s">
        <v>1154</v>
      </c>
      <c r="P146" s="3" t="s">
        <v>33</v>
      </c>
      <c r="Q146" s="3">
        <v>8</v>
      </c>
      <c r="R146" s="3" t="s">
        <v>922</v>
      </c>
      <c r="S146" s="3" t="s">
        <v>31</v>
      </c>
      <c r="T146" s="1" t="s">
        <v>588</v>
      </c>
      <c r="U146" s="16" t="s">
        <v>123</v>
      </c>
      <c r="V146" s="3" t="s">
        <v>33</v>
      </c>
      <c r="W146" s="3" t="s">
        <v>31</v>
      </c>
      <c r="X146" s="3" t="s">
        <v>30</v>
      </c>
      <c r="Y146" s="3" t="s">
        <v>1095</v>
      </c>
      <c r="Z146" s="3">
        <v>1</v>
      </c>
      <c r="AA146" s="1">
        <v>50</v>
      </c>
      <c r="AB146" s="16" t="s">
        <v>74</v>
      </c>
      <c r="AC146" s="3" t="s">
        <v>923</v>
      </c>
      <c r="AD146" s="3" t="s">
        <v>924</v>
      </c>
      <c r="AE146" s="3" t="s">
        <v>30</v>
      </c>
      <c r="AF146" s="3" t="s">
        <v>30</v>
      </c>
      <c r="AG146" s="3" t="s">
        <v>33</v>
      </c>
      <c r="AH146" s="1" t="s">
        <v>33</v>
      </c>
      <c r="AI146" s="4" t="s">
        <v>1400</v>
      </c>
      <c r="AJ146" s="24" t="s">
        <v>1401</v>
      </c>
      <c r="AK146" s="3" t="s">
        <v>33</v>
      </c>
      <c r="AL146" s="3" t="s">
        <v>33</v>
      </c>
      <c r="AM146" s="3" t="s">
        <v>1035</v>
      </c>
      <c r="AN146" s="3" t="s">
        <v>33</v>
      </c>
      <c r="AO146" s="3" t="s">
        <v>64</v>
      </c>
      <c r="AP146" s="3"/>
    </row>
    <row r="147" spans="1:42" ht="64" x14ac:dyDescent="0.2">
      <c r="A147" s="23">
        <v>74</v>
      </c>
      <c r="B147" s="3" t="s">
        <v>925</v>
      </c>
      <c r="C147" s="3" t="s">
        <v>926</v>
      </c>
      <c r="D147" s="24" t="s">
        <v>927</v>
      </c>
      <c r="E147" s="3" t="s">
        <v>107</v>
      </c>
      <c r="F147" s="1">
        <v>2022</v>
      </c>
      <c r="G147" s="16" t="s">
        <v>928</v>
      </c>
      <c r="H147" s="3" t="s">
        <v>31</v>
      </c>
      <c r="I147" s="3"/>
      <c r="J147" s="3">
        <v>20</v>
      </c>
      <c r="K147" s="3" t="s">
        <v>31</v>
      </c>
      <c r="L147" s="3" t="s">
        <v>929</v>
      </c>
      <c r="M147" s="3">
        <v>12</v>
      </c>
      <c r="N147" s="3" t="s">
        <v>1145</v>
      </c>
      <c r="O147" s="3" t="s">
        <v>31</v>
      </c>
      <c r="P147" s="3" t="s">
        <v>33</v>
      </c>
      <c r="Q147" s="3">
        <v>8</v>
      </c>
      <c r="R147" s="3" t="s">
        <v>930</v>
      </c>
      <c r="S147" s="3" t="s">
        <v>31</v>
      </c>
      <c r="T147" s="1" t="s">
        <v>49</v>
      </c>
      <c r="U147" s="16" t="s">
        <v>931</v>
      </c>
      <c r="V147" s="3" t="s">
        <v>30</v>
      </c>
      <c r="W147" s="3" t="s">
        <v>932</v>
      </c>
      <c r="X147" s="3" t="s">
        <v>33</v>
      </c>
      <c r="Y147" s="3"/>
      <c r="Z147" s="3">
        <v>4</v>
      </c>
      <c r="AA147" s="1">
        <v>50</v>
      </c>
      <c r="AB147" s="16" t="s">
        <v>1319</v>
      </c>
      <c r="AC147" s="3" t="s">
        <v>146</v>
      </c>
      <c r="AD147" s="3" t="s">
        <v>349</v>
      </c>
      <c r="AE147" s="3" t="s">
        <v>30</v>
      </c>
      <c r="AF147" s="3" t="s">
        <v>33</v>
      </c>
      <c r="AG147" s="3" t="s">
        <v>30</v>
      </c>
      <c r="AH147" s="1" t="s">
        <v>33</v>
      </c>
      <c r="AI147" s="3" t="s">
        <v>33</v>
      </c>
      <c r="AJ147" s="4"/>
      <c r="AK147" s="3" t="s">
        <v>33</v>
      </c>
      <c r="AL147" s="3" t="s">
        <v>33</v>
      </c>
      <c r="AM147" s="3" t="s">
        <v>1035</v>
      </c>
      <c r="AN147" s="3" t="s">
        <v>33</v>
      </c>
      <c r="AO147" s="3" t="s">
        <v>1046</v>
      </c>
      <c r="AP147" s="3"/>
    </row>
    <row r="148" spans="1:42" ht="96" x14ac:dyDescent="0.2">
      <c r="A148" s="23">
        <v>123</v>
      </c>
      <c r="B148" s="3" t="s">
        <v>933</v>
      </c>
      <c r="C148" s="3" t="s">
        <v>934</v>
      </c>
      <c r="D148" s="3" t="s">
        <v>935</v>
      </c>
      <c r="E148" s="3" t="s">
        <v>606</v>
      </c>
      <c r="F148" s="1">
        <v>2020</v>
      </c>
      <c r="G148" s="16" t="s">
        <v>333</v>
      </c>
      <c r="H148" s="3" t="s">
        <v>1034</v>
      </c>
      <c r="I148" s="3" t="s">
        <v>1066</v>
      </c>
      <c r="J148" s="3">
        <v>80</v>
      </c>
      <c r="K148" s="3">
        <v>8</v>
      </c>
      <c r="L148" s="3" t="s">
        <v>936</v>
      </c>
      <c r="M148" s="3" t="s">
        <v>937</v>
      </c>
      <c r="N148" s="3" t="s">
        <v>1146</v>
      </c>
      <c r="O148" s="4" t="s">
        <v>1154</v>
      </c>
      <c r="P148" s="3" t="s">
        <v>33</v>
      </c>
      <c r="Q148" s="3">
        <v>22</v>
      </c>
      <c r="R148" s="3" t="s">
        <v>938</v>
      </c>
      <c r="S148" s="3" t="s">
        <v>1095</v>
      </c>
      <c r="T148" s="1" t="s">
        <v>35</v>
      </c>
      <c r="U148" s="16" t="s">
        <v>285</v>
      </c>
      <c r="V148" s="3" t="s">
        <v>33</v>
      </c>
      <c r="W148" s="3" t="s">
        <v>31</v>
      </c>
      <c r="X148" s="3" t="s">
        <v>30</v>
      </c>
      <c r="Y148" s="3" t="s">
        <v>1289</v>
      </c>
      <c r="Z148" s="3">
        <v>12.8</v>
      </c>
      <c r="AA148" s="1">
        <v>0</v>
      </c>
      <c r="AB148" s="36" t="s">
        <v>39</v>
      </c>
      <c r="AC148" s="3" t="s">
        <v>939</v>
      </c>
      <c r="AD148" s="3" t="s">
        <v>1387</v>
      </c>
      <c r="AE148" s="3" t="s">
        <v>1395</v>
      </c>
      <c r="AF148" s="3" t="s">
        <v>30</v>
      </c>
      <c r="AG148" s="3" t="s">
        <v>33</v>
      </c>
      <c r="AH148" s="1" t="s">
        <v>33</v>
      </c>
      <c r="AI148" s="3" t="s">
        <v>30</v>
      </c>
      <c r="AJ148" s="24" t="s">
        <v>1056</v>
      </c>
      <c r="AK148" s="3" t="s">
        <v>33</v>
      </c>
      <c r="AL148" s="3" t="s">
        <v>30</v>
      </c>
      <c r="AM148" s="3"/>
      <c r="AN148" s="3" t="s">
        <v>30</v>
      </c>
      <c r="AO148" s="3" t="s">
        <v>1052</v>
      </c>
      <c r="AP148" s="3"/>
    </row>
    <row r="149" spans="1:42" ht="48" x14ac:dyDescent="0.2">
      <c r="A149" s="23">
        <v>18</v>
      </c>
      <c r="B149" s="3" t="s">
        <v>940</v>
      </c>
      <c r="C149" s="3" t="s">
        <v>941</v>
      </c>
      <c r="D149" s="24" t="s">
        <v>942</v>
      </c>
      <c r="E149" s="3" t="s">
        <v>70</v>
      </c>
      <c r="F149" s="1">
        <v>2017</v>
      </c>
      <c r="G149" s="16" t="s">
        <v>333</v>
      </c>
      <c r="H149" s="3" t="s">
        <v>31</v>
      </c>
      <c r="I149" s="3"/>
      <c r="J149" s="3">
        <v>50</v>
      </c>
      <c r="K149" s="3" t="s">
        <v>31</v>
      </c>
      <c r="L149" s="3" t="s">
        <v>943</v>
      </c>
      <c r="M149" s="3">
        <v>10</v>
      </c>
      <c r="N149" s="3" t="s">
        <v>31</v>
      </c>
      <c r="O149" s="3" t="s">
        <v>31</v>
      </c>
      <c r="P149" s="3" t="s">
        <v>31</v>
      </c>
      <c r="Q149" s="3">
        <v>5</v>
      </c>
      <c r="R149" s="3" t="s">
        <v>944</v>
      </c>
      <c r="S149" s="3" t="s">
        <v>31</v>
      </c>
      <c r="T149" s="1" t="s">
        <v>31</v>
      </c>
      <c r="U149" s="16" t="s">
        <v>589</v>
      </c>
      <c r="V149" s="3" t="s">
        <v>33</v>
      </c>
      <c r="W149" s="3" t="s">
        <v>945</v>
      </c>
      <c r="X149" s="3" t="s">
        <v>30</v>
      </c>
      <c r="Y149" s="3" t="s">
        <v>1290</v>
      </c>
      <c r="Z149" s="3">
        <v>4</v>
      </c>
      <c r="AA149" s="1">
        <v>50</v>
      </c>
      <c r="AB149" s="16" t="s">
        <v>31</v>
      </c>
      <c r="AC149" s="3" t="s">
        <v>40</v>
      </c>
      <c r="AD149" s="3" t="s">
        <v>1388</v>
      </c>
      <c r="AE149" s="3" t="s">
        <v>30</v>
      </c>
      <c r="AF149" s="3" t="s">
        <v>33</v>
      </c>
      <c r="AG149" s="3" t="s">
        <v>33</v>
      </c>
      <c r="AH149" s="1" t="s">
        <v>33</v>
      </c>
      <c r="AI149" s="3" t="s">
        <v>33</v>
      </c>
      <c r="AJ149" s="3"/>
      <c r="AK149" s="3" t="s">
        <v>33</v>
      </c>
      <c r="AL149" s="3" t="s">
        <v>33</v>
      </c>
      <c r="AM149" s="3" t="s">
        <v>1035</v>
      </c>
      <c r="AN149" s="3" t="s">
        <v>33</v>
      </c>
      <c r="AO149" s="3" t="s">
        <v>1046</v>
      </c>
      <c r="AP149" s="3"/>
    </row>
    <row r="150" spans="1:42" ht="112" x14ac:dyDescent="0.2">
      <c r="A150" s="23">
        <v>48</v>
      </c>
      <c r="B150" s="3" t="s">
        <v>946</v>
      </c>
      <c r="C150" s="3" t="s">
        <v>947</v>
      </c>
      <c r="D150" s="24" t="s">
        <v>948</v>
      </c>
      <c r="E150" s="3" t="s">
        <v>56</v>
      </c>
      <c r="F150" s="1">
        <v>2019</v>
      </c>
      <c r="G150" s="16" t="s">
        <v>333</v>
      </c>
      <c r="H150" s="3" t="s">
        <v>31</v>
      </c>
      <c r="I150" s="3"/>
      <c r="J150" s="3">
        <v>150</v>
      </c>
      <c r="K150" s="3">
        <v>6</v>
      </c>
      <c r="L150" s="3" t="s">
        <v>949</v>
      </c>
      <c r="M150" s="3">
        <v>5</v>
      </c>
      <c r="N150" s="3" t="s">
        <v>1147</v>
      </c>
      <c r="O150" s="4" t="s">
        <v>1154</v>
      </c>
      <c r="P150" s="3" t="s">
        <v>31</v>
      </c>
      <c r="Q150" s="3">
        <v>6</v>
      </c>
      <c r="R150" s="3" t="s">
        <v>950</v>
      </c>
      <c r="S150" s="3" t="s">
        <v>31</v>
      </c>
      <c r="T150" s="1" t="s">
        <v>588</v>
      </c>
      <c r="U150" s="16" t="s">
        <v>951</v>
      </c>
      <c r="V150" s="3" t="s">
        <v>30</v>
      </c>
      <c r="W150" s="3" t="s">
        <v>230</v>
      </c>
      <c r="X150" s="3" t="s">
        <v>30</v>
      </c>
      <c r="Y150" s="3" t="s">
        <v>1291</v>
      </c>
      <c r="Z150" s="3">
        <v>2</v>
      </c>
      <c r="AA150" s="1">
        <v>50</v>
      </c>
      <c r="AB150" s="16" t="s">
        <v>39</v>
      </c>
      <c r="AC150" s="3" t="s">
        <v>232</v>
      </c>
      <c r="AD150" s="3" t="s">
        <v>1389</v>
      </c>
      <c r="AE150" s="3" t="s">
        <v>30</v>
      </c>
      <c r="AF150" s="3" t="s">
        <v>33</v>
      </c>
      <c r="AG150" s="3" t="s">
        <v>33</v>
      </c>
      <c r="AH150" s="1" t="s">
        <v>33</v>
      </c>
      <c r="AI150" s="3" t="s">
        <v>33</v>
      </c>
      <c r="AJ150" s="3"/>
      <c r="AK150" s="3" t="s">
        <v>33</v>
      </c>
      <c r="AL150" s="3" t="s">
        <v>30</v>
      </c>
      <c r="AM150" s="3"/>
      <c r="AN150" s="3" t="s">
        <v>33</v>
      </c>
      <c r="AO150" s="3" t="s">
        <v>1046</v>
      </c>
      <c r="AP150" s="3"/>
    </row>
    <row r="151" spans="1:42" ht="80" x14ac:dyDescent="0.2">
      <c r="A151" s="23">
        <v>72</v>
      </c>
      <c r="B151" s="3" t="s">
        <v>952</v>
      </c>
      <c r="C151" s="3" t="s">
        <v>947</v>
      </c>
      <c r="D151" s="24" t="s">
        <v>953</v>
      </c>
      <c r="E151" s="3" t="s">
        <v>70</v>
      </c>
      <c r="F151" s="1">
        <v>2021</v>
      </c>
      <c r="G151" s="16" t="s">
        <v>333</v>
      </c>
      <c r="H151" s="3" t="s">
        <v>31</v>
      </c>
      <c r="I151" s="3"/>
      <c r="J151" s="3">
        <v>150</v>
      </c>
      <c r="K151" s="3">
        <v>6</v>
      </c>
      <c r="L151" s="3" t="s">
        <v>954</v>
      </c>
      <c r="M151" s="3">
        <v>10</v>
      </c>
      <c r="N151" s="3" t="s">
        <v>1148</v>
      </c>
      <c r="O151" s="4" t="s">
        <v>1154</v>
      </c>
      <c r="P151" s="3" t="s">
        <v>31</v>
      </c>
      <c r="Q151" s="3">
        <v>6</v>
      </c>
      <c r="R151" s="3" t="s">
        <v>955</v>
      </c>
      <c r="S151" s="3" t="s">
        <v>31</v>
      </c>
      <c r="T151" s="1" t="s">
        <v>588</v>
      </c>
      <c r="U151" s="16" t="s">
        <v>956</v>
      </c>
      <c r="V151" s="3" t="s">
        <v>30</v>
      </c>
      <c r="W151" s="3" t="s">
        <v>230</v>
      </c>
      <c r="X151" s="3" t="s">
        <v>30</v>
      </c>
      <c r="Y151" s="3" t="s">
        <v>1095</v>
      </c>
      <c r="Z151" s="3">
        <v>2</v>
      </c>
      <c r="AA151" s="1">
        <v>50</v>
      </c>
      <c r="AB151" s="16" t="s">
        <v>39</v>
      </c>
      <c r="AC151" s="3" t="s">
        <v>957</v>
      </c>
      <c r="AD151" s="3" t="s">
        <v>958</v>
      </c>
      <c r="AE151" s="3" t="s">
        <v>30</v>
      </c>
      <c r="AF151" s="3" t="s">
        <v>30</v>
      </c>
      <c r="AG151" s="3" t="s">
        <v>33</v>
      </c>
      <c r="AH151" s="1" t="s">
        <v>33</v>
      </c>
      <c r="AI151" s="3" t="s">
        <v>33</v>
      </c>
      <c r="AJ151" s="3"/>
      <c r="AK151" s="3" t="s">
        <v>33</v>
      </c>
      <c r="AL151" s="3" t="s">
        <v>30</v>
      </c>
      <c r="AM151" s="3"/>
      <c r="AN151" s="3" t="s">
        <v>33</v>
      </c>
      <c r="AO151" s="3" t="s">
        <v>1046</v>
      </c>
      <c r="AP151" s="3"/>
    </row>
    <row r="152" spans="1:42" ht="80" x14ac:dyDescent="0.2">
      <c r="A152" s="23">
        <v>131</v>
      </c>
      <c r="B152" s="3" t="s">
        <v>959</v>
      </c>
      <c r="C152" s="3" t="s">
        <v>960</v>
      </c>
      <c r="D152" s="3" t="s">
        <v>961</v>
      </c>
      <c r="E152" s="3" t="s">
        <v>962</v>
      </c>
      <c r="F152" s="1">
        <v>2014</v>
      </c>
      <c r="G152" s="16" t="s">
        <v>333</v>
      </c>
      <c r="H152" s="3" t="s">
        <v>31</v>
      </c>
      <c r="I152" s="3"/>
      <c r="J152" s="3">
        <v>30</v>
      </c>
      <c r="K152" s="3">
        <v>6</v>
      </c>
      <c r="L152" s="3" t="s">
        <v>382</v>
      </c>
      <c r="M152" s="3">
        <v>52</v>
      </c>
      <c r="N152" s="3" t="s">
        <v>1149</v>
      </c>
      <c r="O152" s="4" t="s">
        <v>1154</v>
      </c>
      <c r="P152" s="3" t="s">
        <v>30</v>
      </c>
      <c r="Q152" s="3" t="s">
        <v>1171</v>
      </c>
      <c r="R152" s="3" t="s">
        <v>963</v>
      </c>
      <c r="S152" s="3" t="s">
        <v>31</v>
      </c>
      <c r="T152" s="1" t="s">
        <v>122</v>
      </c>
      <c r="U152" s="16" t="s">
        <v>964</v>
      </c>
      <c r="V152" s="3" t="s">
        <v>33</v>
      </c>
      <c r="W152" s="3" t="s">
        <v>1229</v>
      </c>
      <c r="X152" s="3" t="s">
        <v>30</v>
      </c>
      <c r="Y152" s="4" t="s">
        <v>1292</v>
      </c>
      <c r="Z152" s="3">
        <v>10</v>
      </c>
      <c r="AA152" s="1">
        <v>0</v>
      </c>
      <c r="AB152" s="16" t="s">
        <v>1329</v>
      </c>
      <c r="AC152" s="4" t="s">
        <v>40</v>
      </c>
      <c r="AD152" s="3" t="s">
        <v>1390</v>
      </c>
      <c r="AE152" s="3" t="s">
        <v>30</v>
      </c>
      <c r="AF152" s="3" t="s">
        <v>30</v>
      </c>
      <c r="AG152" s="3" t="s">
        <v>33</v>
      </c>
      <c r="AH152" s="1" t="s">
        <v>33</v>
      </c>
      <c r="AI152" s="3" t="s">
        <v>1407</v>
      </c>
      <c r="AJ152" s="24" t="s">
        <v>1406</v>
      </c>
      <c r="AK152" s="3" t="s">
        <v>33</v>
      </c>
      <c r="AL152" s="3" t="s">
        <v>30</v>
      </c>
      <c r="AM152" s="3"/>
      <c r="AN152" s="3" t="s">
        <v>33</v>
      </c>
      <c r="AO152" s="3" t="s">
        <v>1046</v>
      </c>
      <c r="AP152" s="3"/>
    </row>
    <row r="153" spans="1:42" ht="48" x14ac:dyDescent="0.2">
      <c r="A153" s="23">
        <v>92</v>
      </c>
      <c r="B153" s="3" t="s">
        <v>965</v>
      </c>
      <c r="C153" s="3" t="s">
        <v>966</v>
      </c>
      <c r="D153" s="24" t="s">
        <v>967</v>
      </c>
      <c r="E153" s="3" t="s">
        <v>70</v>
      </c>
      <c r="F153" s="1">
        <v>2017</v>
      </c>
      <c r="G153" s="16" t="s">
        <v>333</v>
      </c>
      <c r="H153" s="3" t="s">
        <v>31</v>
      </c>
      <c r="I153" s="3"/>
      <c r="J153" s="3">
        <v>62</v>
      </c>
      <c r="K153" s="3" t="s">
        <v>31</v>
      </c>
      <c r="L153" s="3" t="s">
        <v>968</v>
      </c>
      <c r="M153" s="3">
        <v>2</v>
      </c>
      <c r="N153" s="3" t="s">
        <v>31</v>
      </c>
      <c r="O153" s="3" t="s">
        <v>1155</v>
      </c>
      <c r="P153" s="3" t="s">
        <v>30</v>
      </c>
      <c r="Q153" s="3">
        <v>6</v>
      </c>
      <c r="R153" s="3" t="s">
        <v>969</v>
      </c>
      <c r="S153" s="3" t="s">
        <v>31</v>
      </c>
      <c r="T153" s="1" t="s">
        <v>31</v>
      </c>
      <c r="U153" s="16" t="s">
        <v>970</v>
      </c>
      <c r="V153" s="3" t="s">
        <v>30</v>
      </c>
      <c r="W153" s="3" t="s">
        <v>31</v>
      </c>
      <c r="X153" s="3" t="s">
        <v>31</v>
      </c>
      <c r="Y153" s="3"/>
      <c r="Z153" s="3" t="s">
        <v>971</v>
      </c>
      <c r="AA153" s="1">
        <v>50</v>
      </c>
      <c r="AB153" s="16" t="s">
        <v>1330</v>
      </c>
      <c r="AC153" s="3" t="s">
        <v>40</v>
      </c>
      <c r="AD153" s="3" t="s">
        <v>1391</v>
      </c>
      <c r="AE153" s="3" t="s">
        <v>30</v>
      </c>
      <c r="AF153" s="3" t="s">
        <v>33</v>
      </c>
      <c r="AG153" s="3" t="s">
        <v>33</v>
      </c>
      <c r="AH153" s="1" t="s">
        <v>33</v>
      </c>
      <c r="AI153" s="3" t="s">
        <v>33</v>
      </c>
      <c r="AJ153" s="3"/>
      <c r="AK153" s="3" t="s">
        <v>33</v>
      </c>
      <c r="AL153" s="3" t="s">
        <v>30</v>
      </c>
      <c r="AM153" s="3"/>
      <c r="AN153" s="3" t="s">
        <v>33</v>
      </c>
      <c r="AO153" s="3" t="s">
        <v>1046</v>
      </c>
      <c r="AP153" s="3"/>
    </row>
    <row r="154" spans="1:42" ht="48" x14ac:dyDescent="0.2">
      <c r="A154" s="23">
        <v>38</v>
      </c>
      <c r="B154" s="3" t="s">
        <v>972</v>
      </c>
      <c r="C154" s="3" t="s">
        <v>973</v>
      </c>
      <c r="D154" s="24" t="s">
        <v>974</v>
      </c>
      <c r="E154" s="3" t="s">
        <v>237</v>
      </c>
      <c r="F154" s="1">
        <v>2017</v>
      </c>
      <c r="G154" s="16" t="s">
        <v>333</v>
      </c>
      <c r="H154" s="3" t="s">
        <v>31</v>
      </c>
      <c r="I154" s="3"/>
      <c r="J154" s="3">
        <v>50</v>
      </c>
      <c r="K154" s="3" t="s">
        <v>31</v>
      </c>
      <c r="L154" s="3" t="s">
        <v>31</v>
      </c>
      <c r="M154" s="3">
        <v>8</v>
      </c>
      <c r="N154" s="3" t="s">
        <v>31</v>
      </c>
      <c r="O154" s="4" t="s">
        <v>1154</v>
      </c>
      <c r="P154" s="3" t="s">
        <v>33</v>
      </c>
      <c r="Q154" s="3">
        <v>8</v>
      </c>
      <c r="R154" s="3" t="s">
        <v>975</v>
      </c>
      <c r="S154" s="3" t="s">
        <v>31</v>
      </c>
      <c r="T154" s="1" t="s">
        <v>49</v>
      </c>
      <c r="U154" s="16" t="s">
        <v>1215</v>
      </c>
      <c r="V154" s="3" t="s">
        <v>30</v>
      </c>
      <c r="W154" s="3" t="s">
        <v>230</v>
      </c>
      <c r="X154" s="3" t="s">
        <v>30</v>
      </c>
      <c r="Y154" s="3" t="s">
        <v>1095</v>
      </c>
      <c r="Z154" s="3">
        <v>1</v>
      </c>
      <c r="AA154" s="1">
        <v>50</v>
      </c>
      <c r="AB154" s="16" t="s">
        <v>231</v>
      </c>
      <c r="AC154" s="3" t="s">
        <v>40</v>
      </c>
      <c r="AD154" s="3" t="s">
        <v>976</v>
      </c>
      <c r="AE154" s="3" t="s">
        <v>33</v>
      </c>
      <c r="AF154" s="3" t="s">
        <v>30</v>
      </c>
      <c r="AG154" s="3" t="s">
        <v>33</v>
      </c>
      <c r="AH154" s="1" t="s">
        <v>33</v>
      </c>
      <c r="AI154" s="3" t="s">
        <v>33</v>
      </c>
      <c r="AJ154" s="3"/>
      <c r="AK154" s="3" t="s">
        <v>33</v>
      </c>
      <c r="AL154" s="3" t="s">
        <v>30</v>
      </c>
      <c r="AM154" s="3"/>
      <c r="AN154" s="3" t="s">
        <v>33</v>
      </c>
      <c r="AO154" s="3" t="s">
        <v>1046</v>
      </c>
      <c r="AP154" s="3"/>
    </row>
    <row r="155" spans="1:42" ht="80" x14ac:dyDescent="0.2">
      <c r="A155" s="23">
        <v>81</v>
      </c>
      <c r="B155" s="3" t="s">
        <v>977</v>
      </c>
      <c r="C155" s="3" t="s">
        <v>978</v>
      </c>
      <c r="D155" s="3" t="s">
        <v>979</v>
      </c>
      <c r="E155" s="3" t="s">
        <v>634</v>
      </c>
      <c r="F155" s="1">
        <v>2023</v>
      </c>
      <c r="G155" s="16" t="s">
        <v>333</v>
      </c>
      <c r="H155" s="3" t="s">
        <v>30</v>
      </c>
      <c r="I155" s="3" t="s">
        <v>1067</v>
      </c>
      <c r="J155" s="3">
        <v>120</v>
      </c>
      <c r="K155" s="3">
        <v>16</v>
      </c>
      <c r="L155" s="3" t="s">
        <v>980</v>
      </c>
      <c r="M155" s="3">
        <v>8</v>
      </c>
      <c r="N155" s="3" t="s">
        <v>1150</v>
      </c>
      <c r="O155" s="4" t="s">
        <v>1154</v>
      </c>
      <c r="P155" s="3" t="s">
        <v>33</v>
      </c>
      <c r="Q155" s="3">
        <v>7</v>
      </c>
      <c r="R155" s="3" t="s">
        <v>981</v>
      </c>
      <c r="S155" s="3" t="s">
        <v>31</v>
      </c>
      <c r="T155" s="1" t="s">
        <v>35</v>
      </c>
      <c r="U155" s="16" t="s">
        <v>1216</v>
      </c>
      <c r="V155" s="3" t="s">
        <v>30</v>
      </c>
      <c r="W155" s="3" t="s">
        <v>230</v>
      </c>
      <c r="X155" s="3" t="s">
        <v>30</v>
      </c>
      <c r="Y155" s="3" t="s">
        <v>1139</v>
      </c>
      <c r="Z155" s="3">
        <v>1</v>
      </c>
      <c r="AA155" s="1">
        <v>50</v>
      </c>
      <c r="AB155" s="16" t="s">
        <v>74</v>
      </c>
      <c r="AC155" s="3" t="s">
        <v>40</v>
      </c>
      <c r="AD155" s="3" t="s">
        <v>982</v>
      </c>
      <c r="AE155" s="3" t="s">
        <v>33</v>
      </c>
      <c r="AF155" s="3" t="s">
        <v>30</v>
      </c>
      <c r="AG155" s="3" t="s">
        <v>33</v>
      </c>
      <c r="AH155" s="1" t="s">
        <v>33</v>
      </c>
      <c r="AI155" s="3" t="s">
        <v>33</v>
      </c>
      <c r="AJ155" s="3"/>
      <c r="AK155" s="3" t="s">
        <v>33</v>
      </c>
      <c r="AL155" s="3" t="s">
        <v>30</v>
      </c>
      <c r="AM155" s="3"/>
      <c r="AN155" s="3" t="s">
        <v>30</v>
      </c>
      <c r="AO155" s="3"/>
      <c r="AP155" s="3"/>
    </row>
    <row r="156" spans="1:42" ht="112" x14ac:dyDescent="0.2">
      <c r="A156" s="23">
        <v>40</v>
      </c>
      <c r="B156" s="3" t="s">
        <v>983</v>
      </c>
      <c r="C156" s="3" t="s">
        <v>984</v>
      </c>
      <c r="D156" s="24" t="s">
        <v>985</v>
      </c>
      <c r="E156" s="3" t="s">
        <v>28</v>
      </c>
      <c r="F156" s="1">
        <v>2016</v>
      </c>
      <c r="G156" s="16" t="s">
        <v>986</v>
      </c>
      <c r="H156" s="3" t="s">
        <v>31</v>
      </c>
      <c r="I156" s="3"/>
      <c r="J156" s="3">
        <v>20</v>
      </c>
      <c r="K156" s="3" t="s">
        <v>31</v>
      </c>
      <c r="L156" s="3" t="s">
        <v>987</v>
      </c>
      <c r="M156" s="3">
        <v>17</v>
      </c>
      <c r="N156" s="3" t="s">
        <v>31</v>
      </c>
      <c r="O156" s="4" t="s">
        <v>1154</v>
      </c>
      <c r="P156" s="3" t="s">
        <v>30</v>
      </c>
      <c r="Q156" s="3">
        <v>18</v>
      </c>
      <c r="R156" s="3" t="s">
        <v>988</v>
      </c>
      <c r="S156" s="3" t="s">
        <v>31</v>
      </c>
      <c r="T156" s="1" t="s">
        <v>80</v>
      </c>
      <c r="U156" s="16" t="s">
        <v>989</v>
      </c>
      <c r="V156" s="3" t="s">
        <v>30</v>
      </c>
      <c r="W156" s="3" t="s">
        <v>183</v>
      </c>
      <c r="X156" s="3" t="s">
        <v>30</v>
      </c>
      <c r="Y156" s="3" t="s">
        <v>1095</v>
      </c>
      <c r="Z156" s="3">
        <v>10</v>
      </c>
      <c r="AA156" s="1">
        <v>0</v>
      </c>
      <c r="AB156" s="16" t="s">
        <v>990</v>
      </c>
      <c r="AC156" s="3" t="s">
        <v>40</v>
      </c>
      <c r="AD156" s="3" t="s">
        <v>62</v>
      </c>
      <c r="AE156" s="3" t="s">
        <v>33</v>
      </c>
      <c r="AF156" s="3" t="s">
        <v>30</v>
      </c>
      <c r="AG156" s="3" t="s">
        <v>33</v>
      </c>
      <c r="AH156" s="1" t="s">
        <v>33</v>
      </c>
      <c r="AI156" s="3" t="s">
        <v>33</v>
      </c>
      <c r="AJ156" s="3"/>
      <c r="AK156" s="3" t="s">
        <v>33</v>
      </c>
      <c r="AL156" s="3" t="s">
        <v>33</v>
      </c>
      <c r="AM156" s="3" t="s">
        <v>1035</v>
      </c>
      <c r="AN156" s="3" t="s">
        <v>33</v>
      </c>
      <c r="AO156" s="3" t="s">
        <v>1046</v>
      </c>
      <c r="AP156" s="3"/>
    </row>
    <row r="157" spans="1:42" ht="64" x14ac:dyDescent="0.2">
      <c r="A157" s="23">
        <v>67</v>
      </c>
      <c r="B157" s="3" t="s">
        <v>991</v>
      </c>
      <c r="C157" s="3" t="s">
        <v>992</v>
      </c>
      <c r="D157" s="3" t="s">
        <v>993</v>
      </c>
      <c r="E157" s="3" t="s">
        <v>107</v>
      </c>
      <c r="F157" s="1">
        <v>2020</v>
      </c>
      <c r="G157" s="16" t="s">
        <v>994</v>
      </c>
      <c r="H157" s="3" t="s">
        <v>30</v>
      </c>
      <c r="I157" s="24" t="s">
        <v>995</v>
      </c>
      <c r="J157" s="3">
        <v>100</v>
      </c>
      <c r="K157" s="3" t="s">
        <v>31</v>
      </c>
      <c r="L157" s="3" t="s">
        <v>31</v>
      </c>
      <c r="M157" s="3">
        <v>50</v>
      </c>
      <c r="N157" s="3" t="s">
        <v>31</v>
      </c>
      <c r="O157" s="4" t="s">
        <v>1154</v>
      </c>
      <c r="P157" s="3" t="s">
        <v>33</v>
      </c>
      <c r="Q157" s="3">
        <v>9</v>
      </c>
      <c r="R157" s="3" t="s">
        <v>996</v>
      </c>
      <c r="S157" s="3" t="s">
        <v>31</v>
      </c>
      <c r="T157" s="1" t="s">
        <v>49</v>
      </c>
      <c r="U157" s="16" t="s">
        <v>997</v>
      </c>
      <c r="V157" s="3" t="s">
        <v>33</v>
      </c>
      <c r="W157" s="3" t="s">
        <v>470</v>
      </c>
      <c r="X157" s="3" t="s">
        <v>30</v>
      </c>
      <c r="Y157" s="3" t="s">
        <v>1293</v>
      </c>
      <c r="Z157" s="3">
        <v>5</v>
      </c>
      <c r="AA157" s="1">
        <v>0</v>
      </c>
      <c r="AB157" s="16" t="s">
        <v>1331</v>
      </c>
      <c r="AC157" s="3" t="s">
        <v>40</v>
      </c>
      <c r="AD157" s="3" t="s">
        <v>62</v>
      </c>
      <c r="AE157" s="3" t="s">
        <v>33</v>
      </c>
      <c r="AF157" s="3" t="s">
        <v>30</v>
      </c>
      <c r="AG157" s="3" t="s">
        <v>30</v>
      </c>
      <c r="AH157" s="1" t="s">
        <v>33</v>
      </c>
      <c r="AI157" s="3" t="s">
        <v>33</v>
      </c>
      <c r="AJ157" s="3"/>
      <c r="AK157" s="3" t="s">
        <v>33</v>
      </c>
      <c r="AL157" s="3" t="s">
        <v>33</v>
      </c>
      <c r="AM157" s="3" t="s">
        <v>1037</v>
      </c>
      <c r="AN157" s="3" t="s">
        <v>33</v>
      </c>
      <c r="AO157" s="3" t="s">
        <v>64</v>
      </c>
      <c r="AP157" s="3"/>
    </row>
    <row r="158" spans="1:42" ht="192" x14ac:dyDescent="0.2">
      <c r="A158" s="23">
        <v>30</v>
      </c>
      <c r="B158" s="3" t="s">
        <v>998</v>
      </c>
      <c r="C158" s="3" t="s">
        <v>999</v>
      </c>
      <c r="D158" s="24" t="s">
        <v>1000</v>
      </c>
      <c r="E158" s="3" t="s">
        <v>107</v>
      </c>
      <c r="F158" s="1">
        <v>2020</v>
      </c>
      <c r="G158" s="16" t="s">
        <v>333</v>
      </c>
      <c r="H158" s="3" t="s">
        <v>31</v>
      </c>
      <c r="I158" s="3"/>
      <c r="J158" s="3">
        <v>14</v>
      </c>
      <c r="K158" s="3">
        <v>8</v>
      </c>
      <c r="L158" s="3" t="s">
        <v>1001</v>
      </c>
      <c r="M158" s="3">
        <v>7</v>
      </c>
      <c r="N158" s="3" t="s">
        <v>1151</v>
      </c>
      <c r="O158" s="4" t="s">
        <v>1154</v>
      </c>
      <c r="P158" s="3" t="s">
        <v>30</v>
      </c>
      <c r="Q158" s="3">
        <v>9</v>
      </c>
      <c r="R158" s="3" t="s">
        <v>1002</v>
      </c>
      <c r="S158" s="3" t="s">
        <v>31</v>
      </c>
      <c r="T158" s="1" t="s">
        <v>31</v>
      </c>
      <c r="U158" s="16" t="s">
        <v>1228</v>
      </c>
      <c r="V158" s="3" t="s">
        <v>33</v>
      </c>
      <c r="W158" s="3" t="s">
        <v>31</v>
      </c>
      <c r="X158" s="3" t="s">
        <v>30</v>
      </c>
      <c r="Y158" s="3" t="s">
        <v>1294</v>
      </c>
      <c r="Z158" s="3">
        <v>1.6</v>
      </c>
      <c r="AA158" s="1">
        <v>50</v>
      </c>
      <c r="AB158" s="16" t="s">
        <v>1320</v>
      </c>
      <c r="AC158" s="3" t="s">
        <v>40</v>
      </c>
      <c r="AD158" s="3" t="s">
        <v>1003</v>
      </c>
      <c r="AE158" s="3" t="s">
        <v>30</v>
      </c>
      <c r="AF158" s="3" t="s">
        <v>30</v>
      </c>
      <c r="AG158" s="3" t="s">
        <v>33</v>
      </c>
      <c r="AH158" s="1" t="s">
        <v>33</v>
      </c>
      <c r="AI158" s="3" t="s">
        <v>33</v>
      </c>
      <c r="AJ158" s="3"/>
      <c r="AK158" s="3" t="s">
        <v>33</v>
      </c>
      <c r="AL158" s="3" t="s">
        <v>33</v>
      </c>
      <c r="AM158" s="3" t="s">
        <v>1035</v>
      </c>
      <c r="AN158" s="3" t="s">
        <v>33</v>
      </c>
      <c r="AO158" s="3" t="s">
        <v>1046</v>
      </c>
      <c r="AP158" s="3"/>
    </row>
    <row r="159" spans="1:42" ht="80" x14ac:dyDescent="0.2">
      <c r="A159" s="23">
        <v>133</v>
      </c>
      <c r="B159" s="3" t="s">
        <v>1004</v>
      </c>
      <c r="C159" s="3" t="s">
        <v>1005</v>
      </c>
      <c r="D159" s="3" t="s">
        <v>1006</v>
      </c>
      <c r="E159" s="3" t="s">
        <v>290</v>
      </c>
      <c r="F159" s="1">
        <v>2012</v>
      </c>
      <c r="G159" s="16" t="s">
        <v>559</v>
      </c>
      <c r="H159" s="3" t="s">
        <v>31</v>
      </c>
      <c r="I159" s="3"/>
      <c r="J159" s="3">
        <v>80</v>
      </c>
      <c r="K159" s="3">
        <v>6</v>
      </c>
      <c r="L159" s="3" t="s">
        <v>1007</v>
      </c>
      <c r="M159" s="3">
        <v>60</v>
      </c>
      <c r="N159" s="3" t="s">
        <v>1152</v>
      </c>
      <c r="O159" s="4" t="s">
        <v>1154</v>
      </c>
      <c r="P159" s="3" t="s">
        <v>30</v>
      </c>
      <c r="Q159" s="3" t="s">
        <v>1172</v>
      </c>
      <c r="R159" s="3" t="s">
        <v>1008</v>
      </c>
      <c r="S159" s="3" t="s">
        <v>30</v>
      </c>
      <c r="T159" s="1" t="s">
        <v>35</v>
      </c>
      <c r="U159" s="16" t="s">
        <v>1009</v>
      </c>
      <c r="V159" s="3" t="s">
        <v>30</v>
      </c>
      <c r="W159" s="3" t="s">
        <v>1010</v>
      </c>
      <c r="X159" s="3" t="s">
        <v>30</v>
      </c>
      <c r="Y159" s="3" t="s">
        <v>1295</v>
      </c>
      <c r="Z159" s="3">
        <v>12.8</v>
      </c>
      <c r="AA159" s="1" t="s">
        <v>31</v>
      </c>
      <c r="AB159" s="16" t="s">
        <v>74</v>
      </c>
      <c r="AC159" s="3" t="s">
        <v>1342</v>
      </c>
      <c r="AD159" s="3" t="s">
        <v>1392</v>
      </c>
      <c r="AE159" s="3" t="s">
        <v>30</v>
      </c>
      <c r="AF159" s="3" t="s">
        <v>30</v>
      </c>
      <c r="AG159" s="3" t="s">
        <v>33</v>
      </c>
      <c r="AH159" s="1" t="s">
        <v>33</v>
      </c>
      <c r="AI159" s="3" t="s">
        <v>33</v>
      </c>
      <c r="AJ159" s="3"/>
      <c r="AK159" s="3" t="s">
        <v>33</v>
      </c>
      <c r="AL159" s="3" t="s">
        <v>30</v>
      </c>
      <c r="AM159" s="3"/>
      <c r="AN159" s="3" t="s">
        <v>33</v>
      </c>
      <c r="AO159" s="3" t="s">
        <v>1046</v>
      </c>
      <c r="AP159" s="3"/>
    </row>
    <row r="160" spans="1:42" ht="96" x14ac:dyDescent="0.2">
      <c r="A160" s="23">
        <v>45</v>
      </c>
      <c r="B160" s="3" t="s">
        <v>1011</v>
      </c>
      <c r="C160" s="3" t="s">
        <v>1012</v>
      </c>
      <c r="D160" s="24" t="s">
        <v>1013</v>
      </c>
      <c r="E160" s="3" t="s">
        <v>181</v>
      </c>
      <c r="F160" s="1">
        <v>2019</v>
      </c>
      <c r="G160" s="16" t="s">
        <v>333</v>
      </c>
      <c r="H160" s="3" t="s">
        <v>30</v>
      </c>
      <c r="I160" s="3"/>
      <c r="J160" s="3">
        <v>25</v>
      </c>
      <c r="K160" s="3" t="s">
        <v>31</v>
      </c>
      <c r="L160" s="3" t="s">
        <v>31</v>
      </c>
      <c r="M160" s="3" t="s">
        <v>31</v>
      </c>
      <c r="N160" s="3" t="s">
        <v>1014</v>
      </c>
      <c r="O160" s="3" t="s">
        <v>31</v>
      </c>
      <c r="P160" s="3" t="s">
        <v>33</v>
      </c>
      <c r="Q160" s="3">
        <v>7</v>
      </c>
      <c r="R160" s="3" t="s">
        <v>1015</v>
      </c>
      <c r="S160" s="3" t="s">
        <v>1016</v>
      </c>
      <c r="T160" s="1" t="s">
        <v>31</v>
      </c>
      <c r="U160" s="16" t="s">
        <v>1017</v>
      </c>
      <c r="V160" s="3" t="s">
        <v>30</v>
      </c>
      <c r="W160" s="3" t="s">
        <v>1018</v>
      </c>
      <c r="X160" s="3" t="s">
        <v>30</v>
      </c>
      <c r="Y160" s="3" t="s">
        <v>1296</v>
      </c>
      <c r="Z160" s="3" t="s">
        <v>1019</v>
      </c>
      <c r="AA160" s="1">
        <v>0</v>
      </c>
      <c r="AB160" s="16" t="s">
        <v>1332</v>
      </c>
      <c r="AC160" s="3" t="s">
        <v>1020</v>
      </c>
      <c r="AD160" s="3" t="s">
        <v>62</v>
      </c>
      <c r="AE160" s="3" t="s">
        <v>30</v>
      </c>
      <c r="AF160" s="3" t="s">
        <v>33</v>
      </c>
      <c r="AG160" s="3" t="s">
        <v>30</v>
      </c>
      <c r="AH160" s="1" t="s">
        <v>33</v>
      </c>
      <c r="AI160" s="3" t="s">
        <v>30</v>
      </c>
      <c r="AJ160" s="24" t="s">
        <v>1021</v>
      </c>
      <c r="AK160" s="3" t="s">
        <v>33</v>
      </c>
      <c r="AL160" s="3" t="s">
        <v>30</v>
      </c>
      <c r="AM160" s="3"/>
      <c r="AN160" s="3" t="s">
        <v>33</v>
      </c>
      <c r="AO160" s="3" t="s">
        <v>64</v>
      </c>
      <c r="AP160" s="3"/>
    </row>
    <row r="161" spans="1:42" ht="48" x14ac:dyDescent="0.2">
      <c r="A161" s="18">
        <v>113</v>
      </c>
      <c r="B161" s="19" t="s">
        <v>1022</v>
      </c>
      <c r="C161" s="19" t="s">
        <v>1023</v>
      </c>
      <c r="D161" s="19" t="s">
        <v>1024</v>
      </c>
      <c r="E161" s="19" t="s">
        <v>1025</v>
      </c>
      <c r="F161" s="20">
        <v>2022</v>
      </c>
      <c r="G161" s="42" t="s">
        <v>333</v>
      </c>
      <c r="H161" s="19" t="s">
        <v>31</v>
      </c>
      <c r="I161" s="19"/>
      <c r="J161" s="19" t="s">
        <v>31</v>
      </c>
      <c r="K161" s="19" t="s">
        <v>31</v>
      </c>
      <c r="L161" s="19" t="s">
        <v>31</v>
      </c>
      <c r="M161" s="19" t="s">
        <v>31</v>
      </c>
      <c r="N161" s="19" t="s">
        <v>31</v>
      </c>
      <c r="O161" s="19" t="s">
        <v>31</v>
      </c>
      <c r="P161" s="19" t="s">
        <v>30</v>
      </c>
      <c r="Q161" s="19">
        <v>8</v>
      </c>
      <c r="R161" s="19" t="s">
        <v>1026</v>
      </c>
      <c r="S161" s="19" t="s">
        <v>31</v>
      </c>
      <c r="T161" s="20" t="s">
        <v>31</v>
      </c>
      <c r="U161" s="42" t="s">
        <v>1027</v>
      </c>
      <c r="V161" s="19" t="s">
        <v>30</v>
      </c>
      <c r="W161" s="19" t="s">
        <v>31</v>
      </c>
      <c r="X161" s="19" t="s">
        <v>30</v>
      </c>
      <c r="Y161" s="19" t="s">
        <v>1028</v>
      </c>
      <c r="Z161" s="19">
        <v>2</v>
      </c>
      <c r="AA161" s="20" t="s">
        <v>31</v>
      </c>
      <c r="AB161" s="42" t="s">
        <v>31</v>
      </c>
      <c r="AC161" s="19" t="s">
        <v>241</v>
      </c>
      <c r="AD161" s="19" t="s">
        <v>1029</v>
      </c>
      <c r="AE161" s="19" t="s">
        <v>30</v>
      </c>
      <c r="AF161" s="19" t="s">
        <v>33</v>
      </c>
      <c r="AG161" s="19" t="s">
        <v>33</v>
      </c>
      <c r="AH161" s="20" t="s">
        <v>33</v>
      </c>
      <c r="AI161" s="19" t="s">
        <v>33</v>
      </c>
      <c r="AJ161" s="19"/>
      <c r="AK161" s="19" t="s">
        <v>33</v>
      </c>
      <c r="AL161" s="19" t="s">
        <v>33</v>
      </c>
      <c r="AM161" s="19" t="s">
        <v>1035</v>
      </c>
      <c r="AN161" s="19" t="s">
        <v>33</v>
      </c>
      <c r="AO161" s="19" t="s">
        <v>1046</v>
      </c>
      <c r="AP161" s="3"/>
    </row>
    <row r="162" spans="1:42" ht="32" x14ac:dyDescent="0.2">
      <c r="A162" s="23"/>
      <c r="B162" s="3"/>
      <c r="C162" s="3"/>
      <c r="D162" s="3"/>
      <c r="E162" s="3"/>
      <c r="F162" s="41" t="s">
        <v>1423</v>
      </c>
      <c r="G162" s="3"/>
      <c r="H162" s="3"/>
      <c r="I162" s="3"/>
      <c r="J162" s="3">
        <f>COUNTIF(J3:J161, "=N/A")</f>
        <v>18</v>
      </c>
      <c r="K162" s="3">
        <f t="shared" ref="K162:AB162" si="0">COUNTIF(K3:K161, "=N/A")</f>
        <v>109</v>
      </c>
      <c r="L162" s="3">
        <f t="shared" si="0"/>
        <v>65</v>
      </c>
      <c r="M162" s="3">
        <f t="shared" si="0"/>
        <v>13</v>
      </c>
      <c r="N162" s="3">
        <f t="shared" si="0"/>
        <v>66</v>
      </c>
      <c r="O162" s="3">
        <f t="shared" si="0"/>
        <v>46</v>
      </c>
      <c r="P162" s="3">
        <f t="shared" si="0"/>
        <v>47</v>
      </c>
      <c r="Q162" s="3">
        <f t="shared" si="0"/>
        <v>0</v>
      </c>
      <c r="R162" s="3">
        <f t="shared" si="0"/>
        <v>2</v>
      </c>
      <c r="S162" s="3">
        <f t="shared" si="0"/>
        <v>113</v>
      </c>
      <c r="T162" s="3">
        <f t="shared" si="0"/>
        <v>62</v>
      </c>
      <c r="U162" s="3"/>
      <c r="V162" s="3"/>
      <c r="W162" s="3">
        <f t="shared" si="0"/>
        <v>59</v>
      </c>
      <c r="X162" s="3"/>
      <c r="Y162" s="3"/>
      <c r="Z162" s="3">
        <f t="shared" si="0"/>
        <v>13</v>
      </c>
      <c r="AA162" s="3">
        <f t="shared" si="0"/>
        <v>39</v>
      </c>
      <c r="AB162" s="3">
        <f t="shared" si="0"/>
        <v>15</v>
      </c>
      <c r="AC162" s="3"/>
      <c r="AD162" s="3"/>
      <c r="AE162" s="3"/>
      <c r="AF162" s="3"/>
      <c r="AG162" s="3"/>
      <c r="AH162" s="3"/>
      <c r="AI162" s="3"/>
      <c r="AJ162" s="3"/>
      <c r="AK162" s="3"/>
      <c r="AL162" s="3"/>
      <c r="AM162" s="3"/>
      <c r="AN162" s="3"/>
      <c r="AO162" s="3"/>
      <c r="AP162" s="3"/>
    </row>
    <row r="163" spans="1:42" x14ac:dyDescent="0.2">
      <c r="A163" s="2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row>
    <row r="164" spans="1:42" x14ac:dyDescent="0.2">
      <c r="A164" s="2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row>
    <row r="165" spans="1:42" x14ac:dyDescent="0.2">
      <c r="A165" s="2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row>
  </sheetData>
  <mergeCells count="457">
    <mergeCell ref="C59:C61"/>
    <mergeCell ref="D59:D61"/>
    <mergeCell ref="E59:E61"/>
    <mergeCell ref="F59:F61"/>
    <mergeCell ref="B137:B138"/>
    <mergeCell ref="C137:C138"/>
    <mergeCell ref="D137:D138"/>
    <mergeCell ref="E137:E138"/>
    <mergeCell ref="F137:F138"/>
    <mergeCell ref="T137:T138"/>
    <mergeCell ref="I5:I6"/>
    <mergeCell ref="U5:U6"/>
    <mergeCell ref="V5:V6"/>
    <mergeCell ref="A1:F1"/>
    <mergeCell ref="G1:T1"/>
    <mergeCell ref="U1:AA1"/>
    <mergeCell ref="AB1:AH1"/>
    <mergeCell ref="Y5:Y6"/>
    <mergeCell ref="Z5:Z6"/>
    <mergeCell ref="AA5:AA6"/>
    <mergeCell ref="AB5:AB6"/>
    <mergeCell ref="E5:E6"/>
    <mergeCell ref="F5:F6"/>
    <mergeCell ref="AH16:AH17"/>
    <mergeCell ref="AA20:AA22"/>
    <mergeCell ref="AB20:AB22"/>
    <mergeCell ref="AC20:AC22"/>
    <mergeCell ref="A25:A27"/>
    <mergeCell ref="B25:B27"/>
    <mergeCell ref="C25:C27"/>
    <mergeCell ref="D25:D27"/>
    <mergeCell ref="E25:E27"/>
    <mergeCell ref="B59:B61"/>
    <mergeCell ref="C13:C15"/>
    <mergeCell ref="D13:D15"/>
    <mergeCell ref="E13:E15"/>
    <mergeCell ref="F13:F15"/>
    <mergeCell ref="AC5:AC6"/>
    <mergeCell ref="AD5:AD6"/>
    <mergeCell ref="AE5:AE6"/>
    <mergeCell ref="AF5:AF6"/>
    <mergeCell ref="AG5:AG6"/>
    <mergeCell ref="W5:W6"/>
    <mergeCell ref="X5:X6"/>
    <mergeCell ref="AI1:AO1"/>
    <mergeCell ref="A5:A6"/>
    <mergeCell ref="B5:B6"/>
    <mergeCell ref="C5:C6"/>
    <mergeCell ref="D5:D6"/>
    <mergeCell ref="AJ5:AJ6"/>
    <mergeCell ref="AK5:AK6"/>
    <mergeCell ref="AM5:AM6"/>
    <mergeCell ref="AO5:AO6"/>
    <mergeCell ref="AH5:AH6"/>
    <mergeCell ref="AK13:AK15"/>
    <mergeCell ref="A16:A17"/>
    <mergeCell ref="B16:B17"/>
    <mergeCell ref="C16:C17"/>
    <mergeCell ref="D16:D17"/>
    <mergeCell ref="E16:E17"/>
    <mergeCell ref="F16:F17"/>
    <mergeCell ref="U16:U17"/>
    <mergeCell ref="AD13:AD15"/>
    <mergeCell ref="AE13:AE15"/>
    <mergeCell ref="AF13:AF15"/>
    <mergeCell ref="AG13:AG15"/>
    <mergeCell ref="AH13:AH15"/>
    <mergeCell ref="AI13:AI15"/>
    <mergeCell ref="U13:U15"/>
    <mergeCell ref="V13:V15"/>
    <mergeCell ref="W13:W15"/>
    <mergeCell ref="AB13:AB15"/>
    <mergeCell ref="AC13:AC15"/>
    <mergeCell ref="AD16:AD17"/>
    <mergeCell ref="AE16:AE17"/>
    <mergeCell ref="AI16:AI17"/>
    <mergeCell ref="A13:A15"/>
    <mergeCell ref="B13:B15"/>
    <mergeCell ref="AK16:AK17"/>
    <mergeCell ref="AM16:AM17"/>
    <mergeCell ref="V16:V17"/>
    <mergeCell ref="W16:W17"/>
    <mergeCell ref="X16:X17"/>
    <mergeCell ref="Y16:Y17"/>
    <mergeCell ref="AB16:AB17"/>
    <mergeCell ref="AC16:AC17"/>
    <mergeCell ref="U20:U22"/>
    <mergeCell ref="V20:V22"/>
    <mergeCell ref="W20:W22"/>
    <mergeCell ref="X20:X22"/>
    <mergeCell ref="Z20:Z22"/>
    <mergeCell ref="U31:U32"/>
    <mergeCell ref="V25:V27"/>
    <mergeCell ref="V31:V32"/>
    <mergeCell ref="F25:F27"/>
    <mergeCell ref="U25:U27"/>
    <mergeCell ref="W31:W32"/>
    <mergeCell ref="X31:X32"/>
    <mergeCell ref="A20:A22"/>
    <mergeCell ref="B20:B22"/>
    <mergeCell ref="C20:C22"/>
    <mergeCell ref="D20:D22"/>
    <mergeCell ref="E20:E22"/>
    <mergeCell ref="F20:F22"/>
    <mergeCell ref="A31:A32"/>
    <mergeCell ref="B31:B32"/>
    <mergeCell ref="C31:C32"/>
    <mergeCell ref="D31:D32"/>
    <mergeCell ref="E31:E32"/>
    <mergeCell ref="F31:F32"/>
    <mergeCell ref="Y31:Y32"/>
    <mergeCell ref="Z31:Z32"/>
    <mergeCell ref="AA25:AA27"/>
    <mergeCell ref="AB25:AB27"/>
    <mergeCell ref="AC25:AC27"/>
    <mergeCell ref="W25:W27"/>
    <mergeCell ref="X25:X27"/>
    <mergeCell ref="Y25:Y27"/>
    <mergeCell ref="Z25:Z27"/>
    <mergeCell ref="AG31:AG32"/>
    <mergeCell ref="AH31:AH32"/>
    <mergeCell ref="AI31:AI32"/>
    <mergeCell ref="AK31:AK32"/>
    <mergeCell ref="AM31:AM32"/>
    <mergeCell ref="AO31:AO32"/>
    <mergeCell ref="AA31:AA32"/>
    <mergeCell ref="AB31:AB32"/>
    <mergeCell ref="AC31:AC32"/>
    <mergeCell ref="AD31:AD32"/>
    <mergeCell ref="AE31:AE32"/>
    <mergeCell ref="AF31:AF32"/>
    <mergeCell ref="AJ31:AJ32"/>
    <mergeCell ref="A37:A39"/>
    <mergeCell ref="B37:B39"/>
    <mergeCell ref="C37:C39"/>
    <mergeCell ref="D37:D39"/>
    <mergeCell ref="E37:E39"/>
    <mergeCell ref="AA33:AA34"/>
    <mergeCell ref="AB33:AB34"/>
    <mergeCell ref="AC33:AC34"/>
    <mergeCell ref="AD33:AD34"/>
    <mergeCell ref="U33:U34"/>
    <mergeCell ref="V33:V34"/>
    <mergeCell ref="W33:W34"/>
    <mergeCell ref="X33:X34"/>
    <mergeCell ref="Z33:Z34"/>
    <mergeCell ref="A33:A34"/>
    <mergeCell ref="B33:B34"/>
    <mergeCell ref="C33:C34"/>
    <mergeCell ref="D33:D34"/>
    <mergeCell ref="E33:E34"/>
    <mergeCell ref="F33:F34"/>
    <mergeCell ref="V37:V39"/>
    <mergeCell ref="W37:W39"/>
    <mergeCell ref="AG33:AG34"/>
    <mergeCell ref="AH33:AH34"/>
    <mergeCell ref="AK33:AK34"/>
    <mergeCell ref="AM33:AM34"/>
    <mergeCell ref="AO33:AO34"/>
    <mergeCell ref="AE33:AE34"/>
    <mergeCell ref="AF33:AF34"/>
    <mergeCell ref="AO37:AO39"/>
    <mergeCell ref="AF37:AF39"/>
    <mergeCell ref="AG37:AG39"/>
    <mergeCell ref="AH37:AH39"/>
    <mergeCell ref="AI37:AI39"/>
    <mergeCell ref="AK37:AK39"/>
    <mergeCell ref="AM37:AM39"/>
    <mergeCell ref="AE37:AE39"/>
    <mergeCell ref="AL33:AL34"/>
    <mergeCell ref="AN33:AN34"/>
    <mergeCell ref="AL37:AL39"/>
    <mergeCell ref="B44:B45"/>
    <mergeCell ref="C44:C45"/>
    <mergeCell ref="D44:D45"/>
    <mergeCell ref="E44:E45"/>
    <mergeCell ref="F44:F45"/>
    <mergeCell ref="G44:G45"/>
    <mergeCell ref="H44:H45"/>
    <mergeCell ref="J44:J45"/>
    <mergeCell ref="X37:X39"/>
    <mergeCell ref="F37:F39"/>
    <mergeCell ref="U37:U39"/>
    <mergeCell ref="U44:U45"/>
    <mergeCell ref="V44:V45"/>
    <mergeCell ref="W44:W45"/>
    <mergeCell ref="K44:K45"/>
    <mergeCell ref="L44:L45"/>
    <mergeCell ref="P44:P45"/>
    <mergeCell ref="Q44:Q45"/>
    <mergeCell ref="R44:R45"/>
    <mergeCell ref="S44:S45"/>
    <mergeCell ref="AK44:AK45"/>
    <mergeCell ref="AM44:AM45"/>
    <mergeCell ref="AO44:AO45"/>
    <mergeCell ref="A50:A51"/>
    <mergeCell ref="B50:B51"/>
    <mergeCell ref="C50:C51"/>
    <mergeCell ref="D50:D51"/>
    <mergeCell ref="E50:E51"/>
    <mergeCell ref="F50:F51"/>
    <mergeCell ref="U50:U51"/>
    <mergeCell ref="AD44:AD45"/>
    <mergeCell ref="AE44:AE45"/>
    <mergeCell ref="AF44:AF45"/>
    <mergeCell ref="AG44:AG45"/>
    <mergeCell ref="AH44:AH45"/>
    <mergeCell ref="AI44:AI45"/>
    <mergeCell ref="X44:X45"/>
    <mergeCell ref="Y44:Y45"/>
    <mergeCell ref="Z44:Z45"/>
    <mergeCell ref="AA44:AA45"/>
    <mergeCell ref="AB44:AB45"/>
    <mergeCell ref="AC44:AC45"/>
    <mergeCell ref="T44:T45"/>
    <mergeCell ref="A44:A45"/>
    <mergeCell ref="AK50:AK51"/>
    <mergeCell ref="AM50:AM51"/>
    <mergeCell ref="AO50:AO51"/>
    <mergeCell ref="A52:A53"/>
    <mergeCell ref="B52:B53"/>
    <mergeCell ref="C52:C53"/>
    <mergeCell ref="D52:D53"/>
    <mergeCell ref="E52:E53"/>
    <mergeCell ref="F52:F53"/>
    <mergeCell ref="G52:G53"/>
    <mergeCell ref="AD50:AD51"/>
    <mergeCell ref="AE50:AE51"/>
    <mergeCell ref="AF50:AF51"/>
    <mergeCell ref="AG50:AG51"/>
    <mergeCell ref="AH50:AH51"/>
    <mergeCell ref="AI50:AI51"/>
    <mergeCell ref="W50:W51"/>
    <mergeCell ref="V50:V51"/>
    <mergeCell ref="Z50:Z51"/>
    <mergeCell ref="AA50:AA51"/>
    <mergeCell ref="AB50:AB51"/>
    <mergeCell ref="AC50:AC51"/>
    <mergeCell ref="S52:S53"/>
    <mergeCell ref="T52:T53"/>
    <mergeCell ref="AK52:AK53"/>
    <mergeCell ref="AM52:AM53"/>
    <mergeCell ref="AO52:AO53"/>
    <mergeCell ref="A59:A61"/>
    <mergeCell ref="A97:A98"/>
    <mergeCell ref="B97:B98"/>
    <mergeCell ref="C97:C98"/>
    <mergeCell ref="D97:D98"/>
    <mergeCell ref="AB52:AB53"/>
    <mergeCell ref="AC52:AC53"/>
    <mergeCell ref="AE52:AE53"/>
    <mergeCell ref="AF52:AF53"/>
    <mergeCell ref="AG52:AG53"/>
    <mergeCell ref="AH52:AH53"/>
    <mergeCell ref="V52:V53"/>
    <mergeCell ref="W52:W53"/>
    <mergeCell ref="X52:X53"/>
    <mergeCell ref="Z52:Z53"/>
    <mergeCell ref="AA52:AA53"/>
    <mergeCell ref="O52:O53"/>
    <mergeCell ref="P52:P53"/>
    <mergeCell ref="AM97:AM98"/>
    <mergeCell ref="U52:U53"/>
    <mergeCell ref="H52:H53"/>
    <mergeCell ref="AC97:AC98"/>
    <mergeCell ref="AD97:AD98"/>
    <mergeCell ref="AJ97:AJ98"/>
    <mergeCell ref="A99:A100"/>
    <mergeCell ref="B99:B100"/>
    <mergeCell ref="C99:C100"/>
    <mergeCell ref="D99:D100"/>
    <mergeCell ref="E99:E100"/>
    <mergeCell ref="F99:F100"/>
    <mergeCell ref="G99:G100"/>
    <mergeCell ref="H99:H100"/>
    <mergeCell ref="AE97:AE98"/>
    <mergeCell ref="E97:E98"/>
    <mergeCell ref="F97:F98"/>
    <mergeCell ref="U97:U98"/>
    <mergeCell ref="V97:V98"/>
    <mergeCell ref="J97:J98"/>
    <mergeCell ref="S97:S98"/>
    <mergeCell ref="Y97:Y98"/>
    <mergeCell ref="Z97:Z98"/>
    <mergeCell ref="AA97:AA98"/>
    <mergeCell ref="AN112:AN113"/>
    <mergeCell ref="AO99:AO100"/>
    <mergeCell ref="A112:A113"/>
    <mergeCell ref="B112:B113"/>
    <mergeCell ref="C112:C113"/>
    <mergeCell ref="D112:D113"/>
    <mergeCell ref="E112:E113"/>
    <mergeCell ref="F112:F113"/>
    <mergeCell ref="G112:G113"/>
    <mergeCell ref="AE99:AE100"/>
    <mergeCell ref="AF99:AF100"/>
    <mergeCell ref="AG99:AG100"/>
    <mergeCell ref="AH99:AH100"/>
    <mergeCell ref="AI99:AI100"/>
    <mergeCell ref="AK99:AK100"/>
    <mergeCell ref="V99:V100"/>
    <mergeCell ref="W99:W100"/>
    <mergeCell ref="X99:X100"/>
    <mergeCell ref="Y99:Y100"/>
    <mergeCell ref="AB99:AB100"/>
    <mergeCell ref="AC99:AC100"/>
    <mergeCell ref="O99:O100"/>
    <mergeCell ref="P99:P100"/>
    <mergeCell ref="S99:S100"/>
    <mergeCell ref="I112:I113"/>
    <mergeCell ref="J112:J113"/>
    <mergeCell ref="K112:K113"/>
    <mergeCell ref="L112:L113"/>
    <mergeCell ref="M112:M113"/>
    <mergeCell ref="AM99:AM100"/>
    <mergeCell ref="T99:T100"/>
    <mergeCell ref="I99:I100"/>
    <mergeCell ref="J99:J100"/>
    <mergeCell ref="K99:K100"/>
    <mergeCell ref="L99:L100"/>
    <mergeCell ref="M99:M100"/>
    <mergeCell ref="N99:N100"/>
    <mergeCell ref="AJ99:AJ100"/>
    <mergeCell ref="AJ112:AJ113"/>
    <mergeCell ref="AL112:AL113"/>
    <mergeCell ref="T112:T113"/>
    <mergeCell ref="AO112:AO113"/>
    <mergeCell ref="A137:A138"/>
    <mergeCell ref="AF112:AF113"/>
    <mergeCell ref="AG112:AG113"/>
    <mergeCell ref="AH112:AH113"/>
    <mergeCell ref="AI112:AI113"/>
    <mergeCell ref="AK112:AK113"/>
    <mergeCell ref="AM112:AM113"/>
    <mergeCell ref="Z112:Z113"/>
    <mergeCell ref="AA112:AA113"/>
    <mergeCell ref="AB112:AB113"/>
    <mergeCell ref="AC112:AC113"/>
    <mergeCell ref="AD112:AD113"/>
    <mergeCell ref="AE112:AE113"/>
    <mergeCell ref="U112:U113"/>
    <mergeCell ref="V112:V113"/>
    <mergeCell ref="W112:W113"/>
    <mergeCell ref="X112:X113"/>
    <mergeCell ref="Y112:Y113"/>
    <mergeCell ref="N112:N113"/>
    <mergeCell ref="O112:O113"/>
    <mergeCell ref="P112:P113"/>
    <mergeCell ref="S112:S113"/>
    <mergeCell ref="H112:H113"/>
    <mergeCell ref="AL5:AL6"/>
    <mergeCell ref="AN5:AN6"/>
    <mergeCell ref="AL13:AL15"/>
    <mergeCell ref="AM13:AM15"/>
    <mergeCell ref="AN13:AN15"/>
    <mergeCell ref="AO13:AO15"/>
    <mergeCell ref="AL16:AL17"/>
    <mergeCell ref="AN16:AN17"/>
    <mergeCell ref="AO16:AO17"/>
    <mergeCell ref="AO59:AO61"/>
    <mergeCell ref="AL97:AL98"/>
    <mergeCell ref="AN97:AN98"/>
    <mergeCell ref="AO97:AO98"/>
    <mergeCell ref="AL20:AL22"/>
    <mergeCell ref="AM20:AM22"/>
    <mergeCell ref="AN20:AN22"/>
    <mergeCell ref="AO20:AO22"/>
    <mergeCell ref="AL25:AL27"/>
    <mergeCell ref="AM25:AM27"/>
    <mergeCell ref="AN25:AN27"/>
    <mergeCell ref="AO25:AO27"/>
    <mergeCell ref="AL31:AL32"/>
    <mergeCell ref="AN31:AN32"/>
    <mergeCell ref="AJ13:AJ15"/>
    <mergeCell ref="AJ16:AJ17"/>
    <mergeCell ref="I16:I17"/>
    <mergeCell ref="Y20:Y22"/>
    <mergeCell ref="AJ20:AJ22"/>
    <mergeCell ref="AJ25:AJ27"/>
    <mergeCell ref="AI25:AI27"/>
    <mergeCell ref="AK25:AK27"/>
    <mergeCell ref="AN99:AN100"/>
    <mergeCell ref="AL99:AL100"/>
    <mergeCell ref="AN37:AN39"/>
    <mergeCell ref="AN44:AN45"/>
    <mergeCell ref="AL44:AL45"/>
    <mergeCell ref="AL50:AL51"/>
    <mergeCell ref="AN50:AN51"/>
    <mergeCell ref="AL52:AL53"/>
    <mergeCell ref="AN52:AN53"/>
    <mergeCell ref="AM59:AM61"/>
    <mergeCell ref="AN59:AN61"/>
    <mergeCell ref="AF97:AF98"/>
    <mergeCell ref="AG97:AG98"/>
    <mergeCell ref="AH97:AH98"/>
    <mergeCell ref="AI97:AI98"/>
    <mergeCell ref="AK97:AK98"/>
    <mergeCell ref="Y37:Y39"/>
    <mergeCell ref="AJ37:AJ39"/>
    <mergeCell ref="AJ44:AJ45"/>
    <mergeCell ref="I44:I45"/>
    <mergeCell ref="X50:X51"/>
    <mergeCell ref="Y50:Y51"/>
    <mergeCell ref="AJ50:AJ51"/>
    <mergeCell ref="AJ52:AJ53"/>
    <mergeCell ref="Y52:Y53"/>
    <mergeCell ref="J52:J53"/>
    <mergeCell ref="K52:K53"/>
    <mergeCell ref="L52:L53"/>
    <mergeCell ref="M52:M53"/>
    <mergeCell ref="N52:N53"/>
    <mergeCell ref="AI52:AI53"/>
    <mergeCell ref="I52:I53"/>
    <mergeCell ref="Z37:Z39"/>
    <mergeCell ref="AA37:AA39"/>
    <mergeCell ref="AB37:AB39"/>
    <mergeCell ref="AC37:AC39"/>
    <mergeCell ref="AD37:AD39"/>
    <mergeCell ref="U59:U61"/>
    <mergeCell ref="V59:V61"/>
    <mergeCell ref="W59:W61"/>
    <mergeCell ref="X59:X61"/>
    <mergeCell ref="Y59:Y61"/>
    <mergeCell ref="Z59:Z61"/>
    <mergeCell ref="AA59:AA61"/>
    <mergeCell ref="AB59:AB61"/>
    <mergeCell ref="AC59:AC61"/>
    <mergeCell ref="AD59:AD61"/>
    <mergeCell ref="AE59:AE61"/>
    <mergeCell ref="AF59:AF61"/>
    <mergeCell ref="AG59:AG61"/>
    <mergeCell ref="AH59:AH61"/>
    <mergeCell ref="AI59:AI61"/>
    <mergeCell ref="AJ59:AJ61"/>
    <mergeCell ref="AK59:AK61"/>
    <mergeCell ref="AL59:AL61"/>
    <mergeCell ref="U137:U138"/>
    <mergeCell ref="V137:V138"/>
    <mergeCell ref="W137:W138"/>
    <mergeCell ref="X137:X138"/>
    <mergeCell ref="Y137:Y138"/>
    <mergeCell ref="Z137:Z138"/>
    <mergeCell ref="AA137:AA138"/>
    <mergeCell ref="AB137:AB138"/>
    <mergeCell ref="AC137:AC138"/>
    <mergeCell ref="AM137:AM138"/>
    <mergeCell ref="AN137:AN138"/>
    <mergeCell ref="AO137:AO138"/>
    <mergeCell ref="AD137:AD138"/>
    <mergeCell ref="AE137:AE138"/>
    <mergeCell ref="AF137:AF138"/>
    <mergeCell ref="AG137:AG138"/>
    <mergeCell ref="AH137:AH138"/>
    <mergeCell ref="AI137:AI138"/>
    <mergeCell ref="AJ137:AJ138"/>
    <mergeCell ref="AK137:AK138"/>
    <mergeCell ref="AL137:AL138"/>
  </mergeCells>
  <dataValidations count="3">
    <dataValidation type="list" allowBlank="1" showInputMessage="1" showErrorMessage="1" sqref="BC82 BF81" xr:uid="{66E40CF5-BAEE-4638-8FAC-12613752BA72}">
      <formula1>$AW$1:$BB$1</formula1>
    </dataValidation>
    <dataValidation type="list" allowBlank="1" showInputMessage="1" showErrorMessage="1" sqref="T141" xr:uid="{0F383496-7126-664A-A3F2-3F5EE4CABD92}">
      <formula1>$X$1:$AC$1</formula1>
    </dataValidation>
    <dataValidation type="list" allowBlank="1" showInputMessage="1" showErrorMessage="1" sqref="T5 T144 T136 T153:T158 T149:T151 T128:T133 T139:T140 T92:T95 T118:T122 T142 T124:T126 T160:T161 T87:T88 T115:T116 T101:T102 T97:T99 T105:T112 T146:T147 T11:T41 T54:T58 T7:T9 T66:T68 T70:T80 T2:T3 T83:T85 T44 T46:T52 T62:T64" xr:uid="{5A2F456F-D0E5-084B-BF1E-B46E9E1EFC5D}">
      <formula1>$U$1:$X$1</formula1>
    </dataValidation>
  </dataValidations>
  <hyperlinks>
    <hyperlink ref="D75" r:id="rId1" xr:uid="{D8E4BE64-00CC-4E44-B574-7C7652B917DD}"/>
    <hyperlink ref="D7" r:id="rId2" xr:uid="{34DF3501-734C-441E-8C7F-5DF5ADD297EE}"/>
    <hyperlink ref="D54" r:id="rId3" xr:uid="{CE7675FA-239F-431F-B5F4-4DB1004E3509}"/>
    <hyperlink ref="D12" r:id="rId4" xr:uid="{CFE7177E-6A00-49D2-BED4-DA79D8048C03}"/>
    <hyperlink ref="D52" r:id="rId5" xr:uid="{93BCF1CC-AFB2-4009-8061-D64940062D50}"/>
    <hyperlink ref="D78" r:id="rId6" xr:uid="{045FD142-FF76-478A-9342-BF75CB342810}"/>
    <hyperlink ref="D9" r:id="rId7" xr:uid="{D4B6236E-89A6-4A7C-851D-1951608BA609}"/>
    <hyperlink ref="D70" r:id="rId8" xr:uid="{6F4AEF0E-42B8-43D1-A0EB-AECBCA4A3540}"/>
    <hyperlink ref="D48" r:id="rId9" xr:uid="{987E5931-680F-4CAC-9177-76D0FF0173D7}"/>
    <hyperlink ref="D74" r:id="rId10" xr:uid="{EF51D9EE-E422-4071-8A36-8D01AEEABF83}"/>
    <hyperlink ref="D31" r:id="rId11" xr:uid="{DCA8220D-D4B5-4C0A-BFA5-8395C16ACE14}"/>
    <hyperlink ref="D77" r:id="rId12" xr:uid="{3A2217EC-7BDB-4ADA-A38F-6C1090FEE331}"/>
    <hyperlink ref="D55" r:id="rId13" xr:uid="{89B9EC21-0D8C-4940-B7DA-0043F1A61CA4}"/>
    <hyperlink ref="D20" r:id="rId14" xr:uid="{AFC27ECC-ED73-44BA-97F8-73BA3A0CDB89}"/>
    <hyperlink ref="D66" r:id="rId15" xr:uid="{3752CBA2-5E4A-43BB-8328-E7941573C34B}"/>
    <hyperlink ref="D56" r:id="rId16" xr:uid="{CC1B549C-6884-4060-A402-0AE397A63F79}"/>
    <hyperlink ref="D76" r:id="rId17" xr:uid="{A9196C32-DCD1-44C2-8CB7-13F8E8A2AFC9}"/>
    <hyperlink ref="D29" r:id="rId18" xr:uid="{5C4116CD-E974-4395-8AA1-851A18BA54B0}"/>
    <hyperlink ref="D58" r:id="rId19" xr:uid="{8815A9A4-E6C3-411D-A07D-949D7FD3A0B9}"/>
    <hyperlink ref="D3" r:id="rId20" xr:uid="{2229D67E-2952-4344-92F6-36974847194E}"/>
    <hyperlink ref="D80" r:id="rId21" xr:uid="{6656AC3B-BDFF-435E-9E4A-C215B889D801}"/>
    <hyperlink ref="D41" r:id="rId22" xr:uid="{2DF9BA59-D7D8-4BE7-83A0-8B0431ADB944}"/>
    <hyperlink ref="D44" r:id="rId23" xr:uid="{1FD42564-8800-40C5-A990-6161F96A8D10}"/>
    <hyperlink ref="D46" r:id="rId24" xr:uid="{C5CFCBFD-F2C7-4B35-A52A-287D5871D906}"/>
    <hyperlink ref="D47" r:id="rId25" xr:uid="{A3A954D9-48F7-4D26-A701-750BF6B7F14B}"/>
    <hyperlink ref="E81" r:id="rId26" display="https://ieeexplore.ieee.org/xpl/conhome/9623060/proceeding" xr:uid="{F3E045C0-EE41-41D6-96E2-43490A5F4C4F}"/>
    <hyperlink ref="D81" r:id="rId27" xr:uid="{B72E5260-CD6D-45C4-8076-947343FDB05B}"/>
    <hyperlink ref="C81" r:id="rId28" display="https://ieeexplore.ieee.org/author/37088595154" xr:uid="{962229A4-EF92-48FC-85BA-EF4139971358}"/>
    <hyperlink ref="D19" r:id="rId29" xr:uid="{1B421830-E9D7-47D1-AE73-C83FBA561A19}"/>
    <hyperlink ref="I51" r:id="rId30" xr:uid="{A261A8F0-5AA4-4679-B1B5-D8C1BCDF0BC9}"/>
    <hyperlink ref="D25" r:id="rId31" xr:uid="{C80FC80A-2A29-45E2-9B70-5C59D90EA2D0}"/>
    <hyperlink ref="D33" r:id="rId32" xr:uid="{07E4AE93-0159-473E-AA09-5CDCE57D6F49}"/>
    <hyperlink ref="D30" r:id="rId33" xr:uid="{4CD435B3-6276-4396-A65C-0BAF1279007C}"/>
    <hyperlink ref="D35" r:id="rId34" xr:uid="{897C7F13-C2F0-4AA1-9E92-D31F7EEFCDA5}"/>
    <hyperlink ref="D37" r:id="rId35" xr:uid="{9D869961-6906-4BCC-81CF-BEA57DAAFF2C}"/>
    <hyperlink ref="D40" r:id="rId36" xr:uid="{A40DF659-0121-452F-AF2E-427830B68B2B}"/>
    <hyperlink ref="D57" r:id="rId37" xr:uid="{5F47537D-581B-4CD0-93D6-620F6E99C544}"/>
    <hyperlink ref="D79" r:id="rId38" xr:uid="{A2ECE919-204F-4A03-9A14-D3073C7954C7}"/>
    <hyperlink ref="D84" r:id="rId39" xr:uid="{4A300AE3-FE4C-4C82-B6D8-875084F82956}"/>
    <hyperlink ref="D67" r:id="rId40" xr:uid="{6AF29830-5BCA-4538-BAFF-A34ACE46D79E}"/>
    <hyperlink ref="D11" r:id="rId41" xr:uid="{2E8CEFC3-C63F-4186-9428-61185FABE8A6}"/>
    <hyperlink ref="D36" r:id="rId42" xr:uid="{842AEEA4-5D42-416A-B020-6AD72C60569F}"/>
    <hyperlink ref="D13" r:id="rId43" xr:uid="{26943CA0-D45E-402E-8EA2-E5A38BEEF4D9}"/>
    <hyperlink ref="D64" r:id="rId44" xr:uid="{176C025D-DC9E-4D41-AD26-BD7ADB961694}"/>
    <hyperlink ref="C86" r:id="rId45" display="https://pubmed.ncbi.nlm.nih.gov/?term=%22Shojaedini%20SV%22%5BAuthor%5D" xr:uid="{4E479AED-CDB1-442E-ABFC-489661289D40}"/>
    <hyperlink ref="D92" r:id="rId46" xr:uid="{86319FF2-AC4B-4137-8410-D0B5D30D2C71}"/>
    <hyperlink ref="D97" r:id="rId47" xr:uid="{E3F7DF0F-28A4-4685-90AA-F595D54B357E}"/>
    <hyperlink ref="D111" r:id="rId48" xr:uid="{281F37E2-2D88-4529-97D5-B14682973F7B}"/>
    <hyperlink ref="D105" r:id="rId49" xr:uid="{D26C24F8-FB41-48FB-AB1A-38B616C9559C}"/>
    <hyperlink ref="D91" r:id="rId50" xr:uid="{7B764176-7678-432F-81E2-FC3A5A55F1E4}"/>
    <hyperlink ref="D101" r:id="rId51" xr:uid="{1D762267-D032-44F2-9954-994053FFCFE3}"/>
    <hyperlink ref="D149" r:id="rId52" xr:uid="{7FE5A797-1072-4DB8-8357-7FD47314B669}"/>
    <hyperlink ref="D115" r:id="rId53" xr:uid="{4344B11E-8F82-494B-A6A2-FC3EB199D683}"/>
    <hyperlink ref="D107" r:id="rId54" xr:uid="{0A36C103-ADBB-4673-8C06-F218610A72D8}"/>
    <hyperlink ref="D93" r:id="rId55" xr:uid="{E970EEEF-73AE-48F2-B769-0C17D9289A52}"/>
    <hyperlink ref="D158" r:id="rId56" xr:uid="{B4E5AFA2-D58D-46FD-AC4A-9447245F9FAA}"/>
    <hyperlink ref="D116" r:id="rId57" xr:uid="{E7EEB392-830C-4E11-ADEF-1472446B772D}"/>
    <hyperlink ref="D119" r:id="rId58" xr:uid="{24317C2C-F843-4545-9411-95358411DDE1}"/>
    <hyperlink ref="D154" r:id="rId59" xr:uid="{35BF49B0-8A92-4F04-BA07-0E3924DC95AD}"/>
    <hyperlink ref="D109" r:id="rId60" xr:uid="{9CA06442-D1E3-4826-A1FC-8A0C45E07BD4}"/>
    <hyperlink ref="D156" r:id="rId61" xr:uid="{8D6855D2-32E8-45A4-B87C-23086CBFF5F2}"/>
    <hyperlink ref="D132" r:id="rId62" xr:uid="{BDB4971E-8830-4F1E-9428-5253A7F0D0CD}"/>
    <hyperlink ref="D160" r:id="rId63" xr:uid="{C069922A-F0DA-4742-A78C-442E362E9BB7}"/>
    <hyperlink ref="D130" r:id="rId64" xr:uid="{F003533F-B616-432F-A7B2-5BAE26FA715D}"/>
    <hyperlink ref="D146" r:id="rId65" xr:uid="{FF1BE633-614A-4C53-8B47-EE66F464593C}"/>
    <hyperlink ref="D133" r:id="rId66" xr:uid="{CD99D538-F76D-4B6C-8A10-59AB09CACF0E}"/>
    <hyperlink ref="I157" r:id="rId67" xr:uid="{0F522D87-95FE-4CFF-A8DF-77EDA82E75DB}"/>
    <hyperlink ref="D99" r:id="rId68" xr:uid="{9A0AE0DE-035C-4153-9A10-332ED3C9DD8F}"/>
    <hyperlink ref="D117" r:id="rId69" xr:uid="{3700F664-A2E3-40E7-A86B-1F898E3A82DC}"/>
    <hyperlink ref="D153" r:id="rId70" xr:uid="{38AC8858-811D-4515-82F3-B281708F0CEB}"/>
    <hyperlink ref="I144" r:id="rId71" xr:uid="{F1756267-56F2-4637-ACF6-3CDD82060D58}"/>
    <hyperlink ref="D131" r:id="rId72" xr:uid="{C3FD39E0-A39A-4E5C-976A-D164D0C03687}"/>
    <hyperlink ref="D127" r:id="rId73" xr:uid="{FD856533-5336-40BD-92C1-A89D1D2070D7}"/>
    <hyperlink ref="D124" r:id="rId74" xr:uid="{E5201287-C636-4997-886A-AC7CCF984E58}"/>
    <hyperlink ref="D147" r:id="rId75" xr:uid="{A92A24F0-248A-45C7-ADFC-4217F98D0130}"/>
    <hyperlink ref="D150" r:id="rId76" xr:uid="{3776464D-08B9-4666-BD69-307DFDACA429}"/>
    <hyperlink ref="D151" r:id="rId77" xr:uid="{8CFA3864-B802-4766-9662-FBA3F1E22AE3}"/>
    <hyperlink ref="D120" r:id="rId78" xr:uid="{9E88CB76-1A26-4502-BFA8-B2BD6540B2D7}"/>
    <hyperlink ref="C104" r:id="rId79" xr:uid="{4F3E1480-9813-40B7-A0C5-58F5622C74C9}"/>
    <hyperlink ref="AJ65" r:id="rId80" xr:uid="{F2E3988C-E076-D443-8E96-74F77248FEB9}"/>
    <hyperlink ref="AJ67" r:id="rId81" xr:uid="{DCE0844A-E199-BE48-AAAA-32BA22A2032B}"/>
    <hyperlink ref="AJ69" r:id="rId82" xr:uid="{9DB39F92-4555-874E-A2B4-FDBC81882F7D}"/>
    <hyperlink ref="AJ77" r:id="rId83" xr:uid="{7B0375D9-0582-B14A-B5E4-D2E07A2E3A43}"/>
    <hyperlink ref="AJ92" r:id="rId84" display="https://github.com/QUTcparg/PS_PAClassification" xr:uid="{04DFE705-886D-274F-830B-A4E5964D7ECE}"/>
    <hyperlink ref="AJ122" r:id="rId85" xr:uid="{41D84FC9-8481-9A4B-8CF5-D29F7540DFD1}"/>
    <hyperlink ref="AJ146" r:id="rId86" xr:uid="{62BD33EA-2B4B-FB45-A93E-3E054CA60769}"/>
    <hyperlink ref="AJ160" r:id="rId87" xr:uid="{40924E86-1A3F-7540-979B-2D5A82C96815}"/>
  </hyperlinks>
  <pageMargins left="0.7" right="0.7" top="0.75" bottom="0.75" header="0.3" footer="0.3"/>
  <pageSetup orientation="portrait" horizontalDpi="0" verticalDpi="0"/>
</worksheet>
</file>

<file path=docMetadata/LabelInfo.xml><?xml version="1.0" encoding="utf-8"?>
<clbl:labelList xmlns:clbl="http://schemas.microsoft.com/office/2020/mipLabelMetadata">
  <clbl:label id="{a8eec281-aaa3-4dae-ac9b-9a398b9215e7}" enabled="0" method="" siteId="{a8eec281-aaa3-4dae-ac9b-9a398b9215e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Final_Data_Extraction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Veronika Potter</cp:lastModifiedBy>
  <cp:revision/>
  <dcterms:created xsi:type="dcterms:W3CDTF">2025-10-08T15:17:41Z</dcterms:created>
  <dcterms:modified xsi:type="dcterms:W3CDTF">2026-01-07T18:56:01Z</dcterms:modified>
  <cp:category/>
  <cp:contentStatus/>
</cp:coreProperties>
</file>